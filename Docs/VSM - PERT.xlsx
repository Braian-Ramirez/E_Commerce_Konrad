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D73224E7-E324-4F59-B1C6-BE9AF472BA5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aller Scrum 3" sheetId="1" state="hidden" r:id="rId1"/>
    <sheet name="PERT Proyecto" sheetId="6" r:id="rId2"/>
    <sheet name="VSM Proyecto Final" sheetId="8" r:id="rId3"/>
    <sheet name="Cronograma" sheetId="7" r:id="rId4"/>
    <sheet name="Desarrollo" sheetId="4" state="hidden" r:id="rId5"/>
  </sheets>
  <definedNames>
    <definedName name="_xlnm._FilterDatabase" localSheetId="4" hidden="1">Desarrollo!$B$3:$F$15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K6" i="6"/>
  <c r="G4" i="6"/>
  <c r="G5" i="6"/>
  <c r="G6" i="6"/>
  <c r="G7" i="6"/>
  <c r="G8" i="6"/>
  <c r="G9" i="6"/>
  <c r="G10" i="6"/>
  <c r="G11" i="6"/>
  <c r="G12" i="6"/>
  <c r="G13" i="6"/>
  <c r="G14" i="6"/>
  <c r="G15" i="6"/>
  <c r="G3" i="6"/>
  <c r="G16" i="6"/>
  <c r="K7" i="6" l="1"/>
  <c r="K8" i="6" s="1"/>
</calcChain>
</file>

<file path=xl/sharedStrings.xml><?xml version="1.0" encoding="utf-8"?>
<sst xmlns="http://schemas.openxmlformats.org/spreadsheetml/2006/main" count="1627" uniqueCount="331">
  <si>
    <t>Base</t>
  </si>
  <si>
    <t>MVP</t>
  </si>
  <si>
    <t>Actor</t>
  </si>
  <si>
    <t>F1</t>
  </si>
  <si>
    <t xml:space="preserve">Registro vendedores </t>
  </si>
  <si>
    <t>Sistema</t>
  </si>
  <si>
    <t>Sprint 1</t>
  </si>
  <si>
    <t>F2</t>
  </si>
  <si>
    <t>Consulta vida créditicia</t>
  </si>
  <si>
    <t>F3</t>
  </si>
  <si>
    <t xml:space="preserve">Ingreso a la interfaz de usuario </t>
  </si>
  <si>
    <t>Director Comercial</t>
  </si>
  <si>
    <t>Sprint 2</t>
  </si>
  <si>
    <t>F4</t>
  </si>
  <si>
    <t>Conulta vida crediticia  y judicial del solicitante</t>
  </si>
  <si>
    <t>F5</t>
  </si>
  <si>
    <t xml:space="preserve">consulta y validación de solicitudes </t>
  </si>
  <si>
    <t>F6</t>
  </si>
  <si>
    <t>Obtención de información del cliente</t>
  </si>
  <si>
    <t>F7</t>
  </si>
  <si>
    <t xml:space="preserve">Realizar pago de suscripción </t>
  </si>
  <si>
    <t>Vendedor</t>
  </si>
  <si>
    <t>Sprint 3</t>
  </si>
  <si>
    <t>Sprint 4</t>
  </si>
  <si>
    <t>F8</t>
  </si>
  <si>
    <t xml:space="preserve">Validación estado del vendedor </t>
  </si>
  <si>
    <t>F9</t>
  </si>
  <si>
    <t xml:space="preserve">Actualización de producto </t>
  </si>
  <si>
    <t>Sprint 5</t>
  </si>
  <si>
    <t>Sprint 6</t>
  </si>
  <si>
    <t>F10</t>
  </si>
  <si>
    <t>Comprador</t>
  </si>
  <si>
    <t>F11</t>
  </si>
  <si>
    <t>Busqueda y validación de productos</t>
  </si>
  <si>
    <t>Sprint 7</t>
  </si>
  <si>
    <t>F12</t>
  </si>
  <si>
    <t>Realización de pago</t>
  </si>
  <si>
    <t>Sprint 8</t>
  </si>
  <si>
    <t>Sprint 9</t>
  </si>
  <si>
    <t>F13</t>
  </si>
  <si>
    <t xml:space="preserve">Creación de tablas de control </t>
  </si>
  <si>
    <t>Sprint 10</t>
  </si>
  <si>
    <t>Sprint 11</t>
  </si>
  <si>
    <t>F14</t>
  </si>
  <si>
    <t xml:space="preserve">Identificación de tendencias y envio de promociones </t>
  </si>
  <si>
    <t>Sprint 12 y 13</t>
  </si>
  <si>
    <t>Sprint 14</t>
  </si>
  <si>
    <t>F15</t>
  </si>
  <si>
    <t xml:space="preserve">Gestionar la parametrización, auditoria y reporte de logs </t>
  </si>
  <si>
    <t>Administrador</t>
  </si>
  <si>
    <t>Sprint 15</t>
  </si>
  <si>
    <t>Fase</t>
  </si>
  <si>
    <t>Tarea</t>
  </si>
  <si>
    <t>Tiempo Pesimista</t>
  </si>
  <si>
    <t>Tiempo Esperado</t>
  </si>
  <si>
    <t>Tiempo Optimista</t>
  </si>
  <si>
    <t>Total (TP+4TE+TO)/6</t>
  </si>
  <si>
    <t>Cantidad de personas</t>
  </si>
  <si>
    <t>Analisis</t>
  </si>
  <si>
    <t>Analisis de requerimientos</t>
  </si>
  <si>
    <t>Dedicación horas x semana</t>
  </si>
  <si>
    <t>Documentación inicial</t>
  </si>
  <si>
    <t>Sprint en semanas</t>
  </si>
  <si>
    <t>Diseño</t>
  </si>
  <si>
    <t>Diseño infraestructura</t>
  </si>
  <si>
    <t>Factor de productividad</t>
  </si>
  <si>
    <t>Modelación BD</t>
  </si>
  <si>
    <t>Capacidad total x sprint</t>
  </si>
  <si>
    <t>Prototipado UI/UX</t>
  </si>
  <si>
    <t>PHU en horas</t>
  </si>
  <si>
    <t>Puntos de Historia de Usuario</t>
  </si>
  <si>
    <t>Construcción</t>
  </si>
  <si>
    <t>Creación BD</t>
  </si>
  <si>
    <t>PHUs por sprint</t>
  </si>
  <si>
    <t>Puntos de Historia de Usuario por sprint</t>
  </si>
  <si>
    <t>Desarrollo BackEnd</t>
  </si>
  <si>
    <t>Desarrollo FrontEnd</t>
  </si>
  <si>
    <t>Implementación de servicios</t>
  </si>
  <si>
    <t>Pruebas</t>
  </si>
  <si>
    <t>Lanzamiento</t>
  </si>
  <si>
    <t>Entrega Demo</t>
  </si>
  <si>
    <t>Manual de usuario</t>
  </si>
  <si>
    <t>Despliegue</t>
  </si>
  <si>
    <t>Tiempo de ejecución</t>
  </si>
  <si>
    <t>REQUERIMIENTOS</t>
  </si>
  <si>
    <t>SPRINTS</t>
  </si>
  <si>
    <t> ID</t>
  </si>
  <si>
    <t>Requerimiento</t>
  </si>
  <si>
    <t>Sprint 0</t>
  </si>
  <si>
    <t>MÓDULO: REGISTRO Y SOLICITUD DE VENDEDORES</t>
  </si>
  <si>
    <t>Registro de solicitud con datos personales (nombres, apellidos, ID, correo, país, ciudad, teléfono)</t>
  </si>
  <si>
    <t>Solicitante</t>
  </si>
  <si>
    <t> </t>
  </si>
  <si>
    <t>Validación de formato de datos del formulario de solicitud</t>
  </si>
  <si>
    <t>Detección de tipo de persona (Natural / Jurídica) y exigencia de documentos según tipo</t>
  </si>
  <si>
    <t>Carga de documentos adjuntos (cédula, RUT, cámara de comercio, formatos de aceptación)</t>
  </si>
  <si>
    <t>Generación de número de radicado y registro de solicitud en estado PENDIENTE</t>
  </si>
  <si>
    <t>Consulta de estado de solicitud por número de radicado o número de identificación</t>
  </si>
  <si>
    <t>MÓDULO: DIRECTOR COMERCIAL — APROBACIÓN</t>
  </si>
  <si>
    <t>Consulta de solicitudes PENDIENTES con filtros: número de ID, estado, rango de fechas</t>
  </si>
  <si>
    <t>Visualización de detalle de solicitud con información completa del solicitante</t>
  </si>
  <si>
    <t>Consulta automática de calificación crediticia en Datacrédito (Mock REST)</t>
  </si>
  <si>
    <t>Consulta automática de calificación crediticia en CIFIN (Mock archivo plano)</t>
  </si>
  <si>
    <t>Consulta automática de antecedentes judiciales en Policía Nacional (Mock)</t>
  </si>
  <si>
    <t>Registro de resultado de solicitud: APROBADA, RECHAZADA o DEVUELTA con reglas de negocio</t>
  </si>
  <si>
    <t>Envío de correo certificado con estampado cronológico al solicitante según resultado</t>
  </si>
  <si>
    <t>MÓDULO: SUSCRIPCIÓN Y PAGOS</t>
  </si>
  <si>
    <t>Selección de plan de suscripción: mensual, semestral o anual con resumen de compra</t>
  </si>
  <si>
    <t>Pago de suscripción mediante pago en línea con pasarela bancaria (Mock)</t>
  </si>
  <si>
    <t>F16</t>
  </si>
  <si>
    <t>Pago de suscripción con tarjeta de crédito (Mock)</t>
  </si>
  <si>
    <t>F17</t>
  </si>
  <si>
    <t>Pago de suscripción por consignación: impresión de recibo y lectura automática de archivo plano del banco (Mock)</t>
  </si>
  <si>
    <t>F18</t>
  </si>
  <si>
    <t>Activación automática de solicitud a estado ACTIVA al confirmar pago</t>
  </si>
  <si>
    <t>F19</t>
  </si>
  <si>
    <t>Cambio automático a estado EN MORA al vencer suscripción con notificación por correo</t>
  </si>
  <si>
    <t>F20</t>
  </si>
  <si>
    <t>Cambio a estado CANCELADA si pasa 1 mes en EN MORA sin renovar</t>
  </si>
  <si>
    <t>MÓDULO: GESTIÓN DE PRODUCTOS</t>
  </si>
  <si>
    <t>F21</t>
  </si>
  <si>
    <t>Publicación de producto con atributos completos: nombre, categoría, subcategoría, marca, color, talla, peso, cantidad, valor</t>
  </si>
  <si>
    <t>F22</t>
  </si>
  <si>
    <t>Carga de imágenes del producto (múltiples, con imagen principal)</t>
  </si>
  <si>
    <t>F23</t>
  </si>
  <si>
    <t>Edición y eliminación de productos publicados</t>
  </si>
  <si>
    <t>MÓDULO: COMPRADORES Y BÚSQUEDA</t>
  </si>
  <si>
    <t>F24</t>
  </si>
  <si>
    <t>Registro de comprador con datos personales, dirección, teléfono, Twitter e Instagram</t>
  </si>
  <si>
    <t>F25</t>
  </si>
  <si>
    <t>Envío de credenciales de acceso al comprador por correo electrónico</t>
  </si>
  <si>
    <t>F26</t>
  </si>
  <si>
    <t>Búsqueda de productos por nombre, categoría, subcategoría, rango de precios y palabras en características</t>
  </si>
  <si>
    <t>F27</t>
  </si>
  <si>
    <t>Visualización de resultados: imagen principal, precio, características, categoría</t>
  </si>
  <si>
    <t>F28</t>
  </si>
  <si>
    <t>Vista de detalle de producto: galería, características, reputación del vendedor, comentarios y preguntas</t>
  </si>
  <si>
    <t>F29</t>
  </si>
  <si>
    <t>Registro de preguntas sobre un producto y respuesta del vendedor</t>
  </si>
  <si>
    <t>F30</t>
  </si>
  <si>
    <t>Registro de comentarios sobre un producto</t>
  </si>
  <si>
    <t>MÓDULO: CARRITO Y COMPRAS</t>
  </si>
  <si>
    <t>F31</t>
  </si>
  <si>
    <t>Agregar productos al carrito con visualización de cantidad y total en tiempo real</t>
  </si>
  <si>
    <t>F32</t>
  </si>
  <si>
    <t>Selección de tipo de entrega: recogida en punto o domicilio a dirección registrada</t>
  </si>
  <si>
    <t>F33</t>
  </si>
  <si>
    <t>Cálculo de total: subtotal + comisión por categoría + IVA configurable + costo de envío por ciudad/peso</t>
  </si>
  <si>
    <t>F34</t>
  </si>
  <si>
    <t>Pago del carrito mediante pago en línea, tarjeta de crédito o consignación (Mock)</t>
  </si>
  <si>
    <t>F35</t>
  </si>
  <si>
    <t>Calificación del vendedor (1–10) con comentario después de una compra efectiva</t>
  </si>
  <si>
    <t>F36</t>
  </si>
  <si>
    <t>Cancelación automática de vendedor con 10 calificaciones &lt; 3 o promedio &lt; 5</t>
  </si>
  <si>
    <t>MÓDULO: ADMINISTRACIÓN Y BAM</t>
  </si>
  <si>
    <t>F37</t>
  </si>
  <si>
    <t>Gestión de parametrización: IVA, comisiones por categoría, tarifas de envío, valores de suscripción</t>
  </si>
  <si>
    <t>F38</t>
  </si>
  <si>
    <t>Consulta y monitoreo de auditoría: acción, usuario, entidad, fecha y hora de cada operación CRUD</t>
  </si>
  <si>
    <t>F39</t>
  </si>
  <si>
    <t>Consulta de logs de error centralizados con nivel, servicio, mensaje y stack trace</t>
  </si>
  <si>
    <t>F40</t>
  </si>
  <si>
    <t>Tablero de control BAM: producto más vendido, categoría con más consultas, suscripciones por semestre</t>
  </si>
  <si>
    <t>F41</t>
  </si>
  <si>
    <t>Identificación automática de tendencias en redes sociales y productos más consultados</t>
  </si>
  <si>
    <t>F42</t>
  </si>
  <si>
    <t>Envío automático de correos con promociones y productos destacados a compradores registrados</t>
  </si>
  <si>
    <t>F43</t>
  </si>
  <si>
    <t>Exposición de servicios de KPIs hacia sistema de BI externo mediante SOAP (Apache CXF)</t>
  </si>
  <si>
    <t>REQUERIMIENTOS NO FUNCIONALES TRANSVERSALES</t>
  </si>
  <si>
    <t>NF1</t>
  </si>
  <si>
    <t>Módulo de autenticación y autorización con roles (Vendedor, Comprador, Director, Administrador) — Keycloak</t>
  </si>
  <si>
    <t>NF2</t>
  </si>
  <si>
    <t>Toda comunicación asegurada con protocolo HTTPS y certificado SSL/TLS activo</t>
  </si>
  <si>
    <t>NF3</t>
  </si>
  <si>
    <t>Contraseña mínimo 8 caracteres con mayúscula, minúscula y número — validada en frontend y backend</t>
  </si>
  <si>
    <t>NF4</t>
  </si>
  <si>
    <t>Contraseña almacenada encriptada con bcrypt (salt rounds ≥ 12)</t>
  </si>
  <si>
    <t>NF5</t>
  </si>
  <si>
    <t>Correos certificados con firma digital y estampado cronológico (JavaMail + S/MIME)</t>
  </si>
  <si>
    <t>NF6</t>
  </si>
  <si>
    <t>Diseño responsivo para dispositivos móviles desde 320px de ancho — TailwindCSS</t>
  </si>
  <si>
    <t>NF7</t>
  </si>
  <si>
    <t>CMS para cambio de imagen corporativa sin necesidad de experto en diseño</t>
  </si>
  <si>
    <t>NF8</t>
  </si>
  <si>
    <t>Registro de auditoría de cada acción CRUD con acción, usuario, fecha y hora</t>
  </si>
  <si>
    <t>NF9</t>
  </si>
  <si>
    <t>Log centralizado de errores con stack trace en ELK Stack (Elasticsearch + Logstash + Kibana)</t>
  </si>
  <si>
    <t>NF10</t>
  </si>
  <si>
    <t>Backup automático diario de base de datos con retención de 30 días en MinIO</t>
  </si>
  <si>
    <t>NF11</t>
  </si>
  <si>
    <t>Acceso a datos abstraído con patrón Repositorio para permitir cambio de motor de base de datos</t>
  </si>
  <si>
    <t>NF12</t>
  </si>
  <si>
    <t>Sistema preparado para computación distribuida: Docker + Kubernetes, escalado horizontal</t>
  </si>
  <si>
    <t>NF13</t>
  </si>
  <si>
    <t>Alta disponibilidad 99.7% — balanceo de carga, health checks y centro de datos alterno (DR)</t>
  </si>
  <si>
    <t>NF14</t>
  </si>
  <si>
    <t>Pruebas de carga: soporte de 200.000 usuarios concurrentes y 1.000 TPS — JMeter</t>
  </si>
  <si>
    <t>NF15</t>
  </si>
  <si>
    <t>Stack tecnológico 100% open source sin licenciamiento comercial</t>
  </si>
  <si>
    <t>Viviana Marcela García Valderrama  &amp;  Braian Felipe Ramírez Ortiz  |  Arquitectura de Software  |  Konrad Lorenz  |  2026</t>
  </si>
  <si>
    <t>Base: prioridad en build base</t>
  </si>
  <si>
    <t>MVP: prioridad en MVP</t>
  </si>
  <si>
    <t>CRONOGRAMA DE DESARROLLO — SISTEMA E-COMMERCE KONRAD</t>
  </si>
  <si>
    <t>Viviana García Valderrama  &amp;  Braian Ramírez Ortiz  |  12 Semanas  |  6 Sprints</t>
  </si>
  <si>
    <t>Metodología: Scrum Adaptado  |  Duración de Sprint: 2 semanas  |  Equipo: 2 personas</t>
  </si>
  <si>
    <t>ID</t>
  </si>
  <si>
    <t>Actividad / Tarea</t>
  </si>
  <si>
    <t>Responsable</t>
  </si>
  <si>
    <t>Sprint</t>
  </si>
  <si>
    <t>Sem.
Inicio</t>
  </si>
  <si>
    <t>Sem.
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</si>
  <si>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</si>
  <si>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</si>
  <si>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</si>
  <si>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</si>
  <si>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</si>
  <si>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</si>
  <si>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</si>
  <si>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</si>
  <si>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</si>
  <si>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</si>
  <si>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</si>
  <si>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</si>
  <si>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SPRINT 0 — INFRAESTRUCTURA BASE Y CONFIGURACIÓN</t>
  </si>
  <si>
    <t>S0-1</t>
  </si>
  <si>
    <t>Configuración repositorio Git, estructura microservicios y CI básico</t>
  </si>
  <si>
    <t>Viviana</t>
  </si>
  <si>
    <t>█</t>
  </si>
  <si>
    <t>S0-2</t>
  </si>
  <si>
    <t>Configuración de HTTPS / SSL y protocolo seguro en API Gateway</t>
  </si>
  <si>
    <t>S0-3</t>
  </si>
  <si>
    <t>Implementación de autenticación y autorización con Keycloak (roles)</t>
  </si>
  <si>
    <t>S0-4</t>
  </si>
  <si>
    <t>Implementación de los 5 mocks: Datacrédito, CIFIN, Policía, Pasarela, Banco</t>
  </si>
  <si>
    <t>Braian</t>
  </si>
  <si>
    <t>S0-5</t>
  </si>
  <si>
    <t>Encriptación de contraseñas con bcrypt y validación de patrón</t>
  </si>
  <si>
    <t>S0-6</t>
  </si>
  <si>
    <t>Definición del stack tecnológico y verificación de dependencias open source</t>
  </si>
  <si>
    <t>Ambos</t>
  </si>
  <si>
    <t>SPRINT 1 — REGISTRO Y APROBACIÓN DE VENDEDORES</t>
  </si>
  <si>
    <t>Formulario de registro de solicitud con datos personales y documentos</t>
  </si>
  <si>
    <t>Validación de formato de datos y detección Natural / Jurídica</t>
  </si>
  <si>
    <t>Carga de documentos adjuntos al sistema de archivos (MinIO)</t>
  </si>
  <si>
    <t>Generación de número de radicado — estado PENDIENTE</t>
  </si>
  <si>
    <t>Consulta de estado de solicitud por número o identificación</t>
  </si>
  <si>
    <t>Panel Director: consulta de solicitudes con filtros</t>
  </si>
  <si>
    <t>Detalle de solicitud + consulta automática Datacrédito, CIFIN y Policía (Mocks)</t>
  </si>
  <si>
    <t>Registro de resultado: APROBADA / RECHAZADA / DEVUELTA con reglas de negocio</t>
  </si>
  <si>
    <t>Correos certificados con estampado cronológico para notificaciones</t>
  </si>
  <si>
    <t>Registro de auditoría CRUD (acción, usuario, fecha, hora)</t>
  </si>
  <si>
    <t>SPRINT 2 — SUSCRIPCIONES, PAGOS Y PUBLICACIÓN DE PRODUCTOS</t>
  </si>
  <si>
    <t>Selección de plan de suscripción (mensual / semestral / anual)</t>
  </si>
  <si>
    <t>Pago en línea con pasarela bancaria (Mock) — Strategy Pattern</t>
  </si>
  <si>
    <t>Pago con tarjeta de crédito (Mock) — Strategy Pattern</t>
  </si>
  <si>
    <t>Pago por consignación: recibo imprimible + lectura archivo plano banco (Mock)</t>
  </si>
  <si>
    <t>Activación automática a estado ACTIVA al confirmar pago</t>
  </si>
  <si>
    <t>Job automático: cambio a EN MORA al vencer suscripción + correo de aviso</t>
  </si>
  <si>
    <t>Cambio a CANCELADA si pasa 1 mes en mora sin renovar</t>
  </si>
  <si>
    <t>Publicación de producto con atributos completos e imágenes en MinIO</t>
  </si>
  <si>
    <t>Log centralizado de errores con stack trace (ELK Stack)</t>
  </si>
  <si>
    <t>SPRINT 3 — COMPRADORES, CATÁLOGO Y BÚSQUEDA</t>
  </si>
  <si>
    <t>Registro de comprador con datos personales y redes sociales</t>
  </si>
  <si>
    <t>Envío de credenciales de acceso al comprador por correo</t>
  </si>
  <si>
    <t>Búsqueda de productos por nombre, categoría, precio y características</t>
  </si>
  <si>
    <t>Visualización de resultados: imagen, precio, características, categoría</t>
  </si>
  <si>
    <t>Detalle de producto: galería, calificación vendedor, comentarios, preguntas</t>
  </si>
  <si>
    <t>Registro de preguntas sobre producto y respuesta del vendedor</t>
  </si>
  <si>
    <t>Registro de comentarios sobre producto</t>
  </si>
  <si>
    <t>Diseño responsivo para dispositivos móviles desde 320px — TailwindCSS</t>
  </si>
  <si>
    <t>CMS para cambio de imagen corporativa sin experto en diseño</t>
  </si>
  <si>
    <t>SPRINT 4 — CARRITO, COMPRAS Y CALIFICACIONES</t>
  </si>
  <si>
    <t>Carrito de compras con contador y total en tiempo real</t>
  </si>
  <si>
    <t>Selección de tipo de entrega: recogida o domicilio</t>
  </si>
  <si>
    <t>Cálculo total: subtotal + comisión por categoría + IVA + envío</t>
  </si>
  <si>
    <t>Pago del carrito: 3 métodos de pago (Mocks reutilizados del Sprint 2)</t>
  </si>
  <si>
    <t>Calificación del vendedor (1–10) con comentario tras compra efectiva</t>
  </si>
  <si>
    <t>Cancelación automática vendedor: 10 calificaciones &lt; 3 o promedio &lt; 5</t>
  </si>
  <si>
    <t>Backup automático diario de base de datos (retención 30 días — MinIO)</t>
  </si>
  <si>
    <t>Patrón Repositorio para abstracción de motor de base de datos</t>
  </si>
  <si>
    <t>SPRINT 5 — BAM, ADMINISTRACIÓN, PRUEBAS Y CIERRE</t>
  </si>
  <si>
    <t>Gestión de parametrización: IVA, comisiones, tarifas de envío, suscripciones</t>
  </si>
  <si>
    <t>Consulta de auditoría con filtros y visualización de logs de error</t>
  </si>
  <si>
    <t>Tablero BAM: producto más vendido, categorías, suscripciones por semestre</t>
  </si>
  <si>
    <t>Automatización de tendencias y envío de promociones por correo</t>
  </si>
  <si>
    <t>Exposición de servicios SOAP para BI externo (Apache CXF + WSDL)</t>
  </si>
  <si>
    <t>Pruebas de carga JMeter: 200k usuarios concurrentes / 1000 TPS</t>
  </si>
  <si>
    <t>Pruebas de seguridad OWASP ZAP (HTTPS, roles, encriptación)</t>
  </si>
  <si>
    <t>Preparación y ensayo de presentación ejecutiva al cliente (profesor)</t>
  </si>
  <si>
    <t>ENTREGABLES DOCUMENTALES (TRANSVERSALES)</t>
  </si>
  <si>
    <t>D1</t>
  </si>
  <si>
    <t>Diagrama de Casos de Uso</t>
  </si>
  <si>
    <t>D2</t>
  </si>
  <si>
    <t>Especificación CU e Historias de Usuario</t>
  </si>
  <si>
    <t>D3</t>
  </si>
  <si>
    <t>Especificación de Requerimientos No Funcionales</t>
  </si>
  <si>
    <t>D4</t>
  </si>
  <si>
    <t>Documento de Arquitectura de Software</t>
  </si>
  <si>
    <t>D5</t>
  </si>
  <si>
    <t>Modelo Entidad-Relación / Relacional</t>
  </si>
  <si>
    <t>D6</t>
  </si>
  <si>
    <t>Prototipos UI/UX (wireframes Figma)</t>
  </si>
  <si>
    <t>D7</t>
  </si>
  <si>
    <t>Plan de Pruebas</t>
  </si>
  <si>
    <t>D8</t>
  </si>
  <si>
    <t>Presentación ejecutiva final</t>
  </si>
  <si>
    <t>LEYENDA</t>
  </si>
  <si>
    <t>Viviana García</t>
  </si>
  <si>
    <t>Braian Ramírez</t>
  </si>
  <si>
    <t>Entregable Documental</t>
  </si>
  <si>
    <t>Grupos</t>
  </si>
  <si>
    <t>Quien tiene acceso?</t>
  </si>
  <si>
    <t>Vistas</t>
  </si>
  <si>
    <t>Fechas</t>
  </si>
  <si>
    <t>Dani/Tati</t>
  </si>
  <si>
    <t>Todos</t>
  </si>
  <si>
    <t>Iniciar Sesion</t>
  </si>
  <si>
    <t>Brayan/Vivi</t>
  </si>
  <si>
    <t>Registrar usuario (En general)</t>
  </si>
  <si>
    <t>Andres</t>
  </si>
  <si>
    <t>Dashboard principal</t>
  </si>
  <si>
    <t>cliente</t>
  </si>
  <si>
    <t>Registrar PQRS</t>
  </si>
  <si>
    <t>Gestor PQR</t>
  </si>
  <si>
    <t>Consulta de listado de PQRS (exportar reporte de pqrs)</t>
  </si>
  <si>
    <t xml:space="preserve">Consulta de listado de PQRS </t>
  </si>
  <si>
    <t>Ver PQRS</t>
  </si>
  <si>
    <t>Admin</t>
  </si>
  <si>
    <t>Administrar los Usuarios, Perfiles, 
Opciones y Permisos del sistema</t>
  </si>
  <si>
    <t>Pagina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</si>
</sst>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entury Gothic"/>
    </font>
    <font>
      <b/>
      <sz val="11"/>
      <color theme="0"/>
      <name val="Century Gothic"/>
    </font>
    <font>
      <sz val="9"/>
      <color rgb="FF000000"/>
      <name val="Arial"/>
      <charset val="1"/>
    </font>
    <font>
      <b/>
      <sz val="10"/>
      <color rgb="FF0070C0"/>
      <name val="Arial"/>
      <charset val="1"/>
    </font>
    <font>
      <b/>
      <sz val="10"/>
      <color rgb="FFC55A11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Arial"/>
      <charset val="1"/>
    </font>
    <font>
      <b/>
      <sz val="10"/>
      <color rgb="FF1F4E79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7030A0"/>
      <name val="Arial"/>
      <charset val="1"/>
    </font>
    <font>
      <sz val="9"/>
      <color rgb="FF0070C0"/>
      <name val="Arial"/>
      <charset val="1"/>
    </font>
    <font>
      <b/>
      <sz val="7"/>
      <color rgb="FFF4B183"/>
      <name val="Arial"/>
      <charset val="1"/>
    </font>
    <font>
      <sz val="11"/>
      <color rgb="FF000000"/>
      <name val="Calibri"/>
      <family val="2"/>
      <charset val="1"/>
    </font>
    <font>
      <b/>
      <sz val="9"/>
      <color rgb="FF375623"/>
      <name val="Arial"/>
      <charset val="1"/>
    </font>
    <font>
      <b/>
      <sz val="7"/>
      <color rgb="FF9DC3E6"/>
      <name val="Arial"/>
      <charset val="1"/>
    </font>
    <font>
      <b/>
      <sz val="7"/>
      <color rgb="FFC5A5D4"/>
      <name val="Arial"/>
      <charset val="1"/>
    </font>
    <font>
      <b/>
      <sz val="7"/>
      <color rgb="FFB4C6E7"/>
      <name val="Arial"/>
      <charset val="1"/>
    </font>
    <font>
      <b/>
      <sz val="7"/>
      <color rgb="FFA9D18E"/>
      <name val="Arial"/>
      <charset val="1"/>
    </font>
    <font>
      <b/>
      <sz val="7"/>
      <color rgb="FFFFE699"/>
      <name val="Arial"/>
      <charset val="1"/>
    </font>
    <font>
      <b/>
      <sz val="7"/>
      <color rgb="FFE2EFDA"/>
      <name val="Arial"/>
      <charset val="1"/>
    </font>
    <font>
      <sz val="8"/>
      <color rgb="FF7030A0"/>
      <name val="Arial"/>
      <charset val="1"/>
    </font>
    <font>
      <sz val="8"/>
      <color rgb="FF1F4E79"/>
      <name val="Arial"/>
      <charset val="1"/>
    </font>
    <font>
      <sz val="8"/>
      <color rgb="FF375623"/>
      <name val="Arial"/>
      <charset val="1"/>
    </font>
    <font>
      <b/>
      <sz val="12"/>
      <color rgb="FFFFFFFF"/>
      <name val="Arial"/>
      <charset val="1"/>
    </font>
    <font>
      <i/>
      <sz val="8"/>
      <color rgb="FF0070C0"/>
      <name val="Arial"/>
      <charset val="1"/>
    </font>
    <font>
      <i/>
      <sz val="8"/>
      <color rgb="FFC55A11"/>
      <name val="Arial"/>
      <charset val="1"/>
    </font>
    <font>
      <i/>
      <sz val="8"/>
      <color rgb="FF1F4E79"/>
      <name val="Arial"/>
      <charset val="1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833C00"/>
        <bgColor rgb="FF993366"/>
      </patternFill>
    </fill>
    <fill>
      <patternFill patternType="solid">
        <fgColor rgb="FFC55A11"/>
        <bgColor rgb="FF833C00"/>
      </patternFill>
    </fill>
    <fill>
      <patternFill patternType="solid">
        <fgColor rgb="FF1F618D"/>
        <bgColor rgb="FF1F4E79"/>
      </patternFill>
    </fill>
    <fill>
      <patternFill patternType="solid">
        <fgColor rgb="FFD6E4F7"/>
        <bgColor rgb="FFEBF3FB"/>
      </patternFill>
    </fill>
    <fill>
      <patternFill patternType="solid">
        <fgColor rgb="FFF4B183"/>
        <bgColor rgb="FFF4CCCC"/>
      </patternFill>
    </fill>
    <fill>
      <patternFill patternType="solid">
        <fgColor rgb="FF9DC3E6"/>
        <bgColor rgb="FFAAAAAA"/>
      </patternFill>
    </fill>
    <fill>
      <patternFill patternType="solid">
        <fgColor rgb="FFC5A5D4"/>
        <bgColor rgb="FFAAAAAA"/>
      </patternFill>
    </fill>
    <fill>
      <patternFill patternType="solid">
        <fgColor rgb="FFA9D18E"/>
        <bgColor rgb="FFAAAAAA"/>
      </patternFill>
    </fill>
    <fill>
      <patternFill patternType="solid">
        <fgColor rgb="FFFFE699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BF3FB"/>
      </patternFill>
    </fill>
    <fill>
      <patternFill patternType="solid">
        <fgColor rgb="FFF4B183"/>
        <bgColor rgb="FFFF8080"/>
      </patternFill>
    </fill>
    <fill>
      <patternFill patternType="solid">
        <fgColor rgb="FF9DC3E6"/>
        <bgColor rgb="FFB4C6E7"/>
      </patternFill>
    </fill>
    <fill>
      <patternFill patternType="solid">
        <fgColor rgb="FFC5A5D4"/>
        <bgColor rgb="FFB4C6E7"/>
      </patternFill>
    </fill>
    <fill>
      <patternFill patternType="solid">
        <fgColor rgb="FFB4C6E7"/>
        <bgColor rgb="FF9DC3E6"/>
      </patternFill>
    </fill>
    <fill>
      <patternFill patternType="solid">
        <fgColor rgb="FFA9D18E"/>
        <bgColor rgb="FFCCCCCC"/>
      </patternFill>
    </fill>
    <fill>
      <patternFill patternType="solid">
        <fgColor rgb="FFFFE699"/>
        <bgColor rgb="FFE2EFDA"/>
      </patternFill>
    </fill>
    <fill>
      <patternFill patternType="solid">
        <fgColor rgb="FFD6E4F7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C55A11"/>
        <bgColor rgb="FF843C00"/>
      </patternFill>
    </fill>
    <fill>
      <patternFill patternType="solid">
        <fgColor rgb="FF843C00"/>
        <bgColor rgb="FF993366"/>
      </patternFill>
    </fill>
    <fill>
      <patternFill patternType="solid">
        <fgColor rgb="FF5D6D7E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AD1FF"/>
        <bgColor rgb="FFD6E4F7"/>
      </patternFill>
    </fill>
    <fill>
      <patternFill patternType="solid">
        <fgColor rgb="FF1F4E79"/>
        <bgColor rgb="FF1F618D"/>
      </patternFill>
    </fill>
    <fill>
      <patternFill patternType="solid">
        <fgColor rgb="FFFCE4D6"/>
        <bgColor rgb="FFEBF3FB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4" borderId="1" xfId="0" applyFill="1" applyBorder="1"/>
    <xf numFmtId="14" fontId="0" fillId="0" borderId="0" xfId="0" applyNumberFormat="1"/>
    <xf numFmtId="14" fontId="0" fillId="0" borderId="1" xfId="0" applyNumberFormat="1" applyBorder="1"/>
    <xf numFmtId="0" fontId="0" fillId="6" borderId="1" xfId="0" applyFill="1" applyBorder="1"/>
    <xf numFmtId="14" fontId="0" fillId="0" borderId="4" xfId="0" applyNumberFormat="1" applyBorder="1"/>
    <xf numFmtId="14" fontId="0" fillId="6" borderId="1" xfId="0" applyNumberFormat="1" applyFill="1" applyBorder="1"/>
    <xf numFmtId="0" fontId="0" fillId="5" borderId="4" xfId="0" applyFill="1" applyBorder="1"/>
    <xf numFmtId="0" fontId="0" fillId="7" borderId="1" xfId="0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7" fillId="0" borderId="0" xfId="0" applyFont="1"/>
    <xf numFmtId="0" fontId="4" fillId="35" borderId="1" xfId="0" applyFont="1" applyFill="1" applyBorder="1"/>
    <xf numFmtId="0" fontId="16" fillId="28" borderId="1" xfId="0" applyFont="1" applyFill="1" applyBorder="1" applyAlignment="1">
      <alignment wrapText="1"/>
    </xf>
    <xf numFmtId="0" fontId="17" fillId="28" borderId="1" xfId="0" applyFont="1" applyFill="1" applyBorder="1"/>
    <xf numFmtId="0" fontId="12" fillId="35" borderId="1" xfId="0" applyFont="1" applyFill="1" applyBorder="1" applyAlignment="1">
      <alignment wrapText="1"/>
    </xf>
    <xf numFmtId="0" fontId="4" fillId="36" borderId="1" xfId="0" applyFont="1" applyFill="1" applyBorder="1"/>
    <xf numFmtId="0" fontId="12" fillId="36" borderId="1" xfId="0" applyFont="1" applyFill="1" applyBorder="1" applyAlignment="1">
      <alignment wrapText="1"/>
    </xf>
    <xf numFmtId="0" fontId="19" fillId="29" borderId="1" xfId="0" applyFont="1" applyFill="1" applyBorder="1" applyAlignment="1">
      <alignment wrapText="1"/>
    </xf>
    <xf numFmtId="0" fontId="17" fillId="29" borderId="1" xfId="0" applyFont="1" applyFill="1" applyBorder="1"/>
    <xf numFmtId="0" fontId="17" fillId="30" borderId="1" xfId="0" applyFont="1" applyFill="1" applyBorder="1"/>
    <xf numFmtId="0" fontId="20" fillId="30" borderId="1" xfId="0" applyFont="1" applyFill="1" applyBorder="1" applyAlignment="1">
      <alignment wrapText="1"/>
    </xf>
    <xf numFmtId="0" fontId="17" fillId="31" borderId="1" xfId="0" applyFont="1" applyFill="1" applyBorder="1"/>
    <xf numFmtId="0" fontId="21" fillId="31" borderId="1" xfId="0" applyFont="1" applyFill="1" applyBorder="1" applyAlignment="1">
      <alignment wrapText="1"/>
    </xf>
    <xf numFmtId="0" fontId="17" fillId="32" borderId="1" xfId="0" applyFont="1" applyFill="1" applyBorder="1"/>
    <xf numFmtId="0" fontId="22" fillId="32" borderId="1" xfId="0" applyFont="1" applyFill="1" applyBorder="1" applyAlignment="1">
      <alignment wrapText="1"/>
    </xf>
    <xf numFmtId="0" fontId="17" fillId="33" borderId="1" xfId="0" applyFont="1" applyFill="1" applyBorder="1"/>
    <xf numFmtId="0" fontId="23" fillId="33" borderId="1" xfId="0" applyFont="1" applyFill="1" applyBorder="1" applyAlignment="1">
      <alignment wrapText="1"/>
    </xf>
    <xf numFmtId="0" fontId="24" fillId="41" borderId="1" xfId="0" applyFont="1" applyFill="1" applyBorder="1" applyAlignment="1">
      <alignment wrapText="1"/>
    </xf>
    <xf numFmtId="0" fontId="17" fillId="41" borderId="1" xfId="0" applyFont="1" applyFill="1" applyBorder="1"/>
    <xf numFmtId="0" fontId="8" fillId="34" borderId="15" xfId="0" applyFont="1" applyFill="1" applyBorder="1" applyAlignment="1">
      <alignment wrapText="1"/>
    </xf>
    <xf numFmtId="0" fontId="12" fillId="35" borderId="17" xfId="0" applyFont="1" applyFill="1" applyBorder="1" applyAlignment="1">
      <alignment wrapText="1"/>
    </xf>
    <xf numFmtId="0" fontId="12" fillId="36" borderId="17" xfId="0" applyFont="1" applyFill="1" applyBorder="1" applyAlignment="1">
      <alignment wrapText="1"/>
    </xf>
    <xf numFmtId="0" fontId="17" fillId="33" borderId="17" xfId="0" applyFont="1" applyFill="1" applyBorder="1"/>
    <xf numFmtId="0" fontId="8" fillId="34" borderId="16" xfId="0" applyFont="1" applyFill="1" applyBorder="1" applyAlignment="1">
      <alignment wrapText="1"/>
    </xf>
    <xf numFmtId="0" fontId="4" fillId="35" borderId="21" xfId="0" applyFont="1" applyFill="1" applyBorder="1"/>
    <xf numFmtId="0" fontId="12" fillId="35" borderId="21" xfId="0" applyFont="1" applyFill="1" applyBorder="1" applyAlignment="1">
      <alignment wrapText="1"/>
    </xf>
    <xf numFmtId="0" fontId="24" fillId="41" borderId="21" xfId="0" applyFont="1" applyFill="1" applyBorder="1" applyAlignment="1">
      <alignment wrapText="1"/>
    </xf>
    <xf numFmtId="0" fontId="17" fillId="41" borderId="22" xfId="0" applyFont="1" applyFill="1" applyBorder="1"/>
    <xf numFmtId="0" fontId="4" fillId="11" borderId="1" xfId="0" applyFont="1" applyFill="1" applyBorder="1" applyAlignment="1">
      <alignment wrapText="1"/>
    </xf>
    <xf numFmtId="0" fontId="4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wrapText="1"/>
    </xf>
    <xf numFmtId="0" fontId="12" fillId="20" borderId="1" xfId="0" applyFont="1" applyFill="1" applyBorder="1" applyAlignment="1">
      <alignment wrapText="1"/>
    </xf>
    <xf numFmtId="0" fontId="4" fillId="12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wrapText="1"/>
    </xf>
    <xf numFmtId="0" fontId="12" fillId="21" borderId="1" xfId="0" applyFont="1" applyFill="1" applyBorder="1" applyAlignment="1">
      <alignment wrapText="1"/>
    </xf>
    <xf numFmtId="0" fontId="12" fillId="22" borderId="1" xfId="0" applyFont="1" applyFill="1" applyBorder="1" applyAlignment="1">
      <alignment wrapText="1"/>
    </xf>
    <xf numFmtId="0" fontId="12" fillId="19" borderId="1" xfId="0" applyFont="1" applyFill="1" applyBorder="1" applyAlignment="1">
      <alignment wrapText="1"/>
    </xf>
    <xf numFmtId="0" fontId="8" fillId="18" borderId="15" xfId="0" applyFont="1" applyFill="1" applyBorder="1" applyAlignment="1">
      <alignment wrapText="1"/>
    </xf>
    <xf numFmtId="0" fontId="12" fillId="11" borderId="17" xfId="0" applyFont="1" applyFill="1" applyBorder="1" applyAlignment="1">
      <alignment wrapText="1"/>
    </xf>
    <xf numFmtId="0" fontId="12" fillId="12" borderId="17" xfId="0" applyFont="1" applyFill="1" applyBorder="1" applyAlignment="1">
      <alignment wrapText="1"/>
    </xf>
    <xf numFmtId="0" fontId="13" fillId="25" borderId="1" xfId="0" applyFont="1" applyFill="1" applyBorder="1" applyAlignment="1">
      <alignment horizontal="center" vertical="center"/>
    </xf>
    <xf numFmtId="0" fontId="13" fillId="25" borderId="1" xfId="0" applyFont="1" applyFill="1" applyBorder="1" applyAlignment="1">
      <alignment horizontal="center" wrapText="1"/>
    </xf>
    <xf numFmtId="0" fontId="13" fillId="25" borderId="1" xfId="0" applyFont="1" applyFill="1" applyBorder="1" applyAlignment="1">
      <alignment horizontal="center" vertical="center" wrapText="1"/>
    </xf>
    <xf numFmtId="0" fontId="13" fillId="25" borderId="15" xfId="0" applyFont="1" applyFill="1" applyBorder="1" applyAlignment="1">
      <alignment horizont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9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9" fillId="33" borderId="17" xfId="0" applyFont="1" applyFill="1" applyBorder="1" applyAlignment="1">
      <alignment horizontal="center" vertical="center" wrapText="1"/>
    </xf>
    <xf numFmtId="0" fontId="13" fillId="26" borderId="15" xfId="0" applyFont="1" applyFill="1" applyBorder="1" applyAlignment="1">
      <alignment horizontal="center" vertical="center" wrapText="1"/>
    </xf>
    <xf numFmtId="0" fontId="13" fillId="26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 vertical="center" wrapText="1"/>
    </xf>
    <xf numFmtId="0" fontId="9" fillId="24" borderId="17" xfId="0" applyFont="1" applyFill="1" applyBorder="1" applyAlignment="1">
      <alignment horizontal="center" vertical="center" wrapText="1"/>
    </xf>
    <xf numFmtId="0" fontId="29" fillId="18" borderId="24" xfId="0" applyFont="1" applyFill="1" applyBorder="1" applyAlignment="1">
      <alignment horizontal="center" vertical="center" wrapText="1"/>
    </xf>
    <xf numFmtId="0" fontId="30" fillId="44" borderId="25" xfId="0" applyFont="1" applyFill="1" applyBorder="1" applyAlignment="1">
      <alignment horizontal="center" vertical="center" wrapText="1"/>
    </xf>
    <xf numFmtId="0" fontId="31" fillId="19" borderId="25" xfId="0" applyFont="1" applyFill="1" applyBorder="1" applyAlignment="1">
      <alignment horizontal="center" vertical="center" wrapText="1"/>
    </xf>
    <xf numFmtId="0" fontId="31" fillId="20" borderId="25" xfId="0" applyFont="1" applyFill="1" applyBorder="1" applyAlignment="1">
      <alignment horizontal="center" vertical="center" wrapText="1"/>
    </xf>
    <xf numFmtId="0" fontId="31" fillId="21" borderId="25" xfId="0" applyFont="1" applyFill="1" applyBorder="1" applyAlignment="1">
      <alignment horizontal="center" vertical="center" wrapText="1"/>
    </xf>
    <xf numFmtId="0" fontId="31" fillId="22" borderId="25" xfId="0" applyFont="1" applyFill="1" applyBorder="1" applyAlignment="1">
      <alignment horizontal="center" vertical="center" wrapText="1"/>
    </xf>
    <xf numFmtId="0" fontId="31" fillId="23" borderId="25" xfId="0" applyFont="1" applyFill="1" applyBorder="1" applyAlignment="1">
      <alignment horizontal="center" vertical="center" wrapText="1"/>
    </xf>
    <xf numFmtId="0" fontId="31" fillId="24" borderId="26" xfId="0" applyFont="1" applyFill="1" applyBorder="1" applyAlignment="1">
      <alignment horizontal="center" vertical="center" wrapText="1"/>
    </xf>
    <xf numFmtId="0" fontId="14" fillId="35" borderId="1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 wrapText="1"/>
    </xf>
    <xf numFmtId="0" fontId="15" fillId="35" borderId="1" xfId="0" applyFont="1" applyFill="1" applyBorder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8" fillId="36" borderId="1" xfId="0" applyFont="1" applyFill="1" applyBorder="1" applyAlignment="1">
      <alignment horizontal="center" vertical="center" wrapText="1"/>
    </xf>
    <xf numFmtId="0" fontId="8" fillId="35" borderId="1" xfId="0" applyFont="1" applyFill="1" applyBorder="1" applyAlignment="1">
      <alignment horizontal="center" vertical="center" wrapText="1"/>
    </xf>
    <xf numFmtId="0" fontId="18" fillId="36" borderId="1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8" fillId="30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center" vertical="center" wrapText="1"/>
    </xf>
    <xf numFmtId="0" fontId="8" fillId="32" borderId="1" xfId="0" applyFont="1" applyFill="1" applyBorder="1" applyAlignment="1">
      <alignment horizontal="center" vertical="center" wrapText="1"/>
    </xf>
    <xf numFmtId="0" fontId="8" fillId="33" borderId="1" xfId="0" applyFont="1" applyFill="1" applyBorder="1" applyAlignment="1">
      <alignment horizontal="center" vertical="center" wrapText="1"/>
    </xf>
    <xf numFmtId="0" fontId="18" fillId="35" borderId="1" xfId="0" applyFont="1" applyFill="1" applyBorder="1" applyAlignment="1">
      <alignment horizontal="center" vertical="center" wrapText="1"/>
    </xf>
    <xf numFmtId="0" fontId="18" fillId="35" borderId="21" xfId="0" applyFont="1" applyFill="1" applyBorder="1" applyAlignment="1">
      <alignment horizontal="center" vertical="center" wrapText="1"/>
    </xf>
    <xf numFmtId="0" fontId="8" fillId="33" borderId="21" xfId="0" applyFont="1" applyFill="1" applyBorder="1" applyAlignment="1">
      <alignment horizontal="center" vertical="center" wrapText="1"/>
    </xf>
    <xf numFmtId="0" fontId="15" fillId="35" borderId="2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12" fillId="23" borderId="4" xfId="0" applyFont="1" applyFill="1" applyBorder="1" applyAlignment="1">
      <alignment horizontal="center" wrapText="1"/>
    </xf>
    <xf numFmtId="0" fontId="12" fillId="23" borderId="12" xfId="0" applyFont="1" applyFill="1" applyBorder="1" applyAlignment="1">
      <alignment horizontal="center" wrapText="1"/>
    </xf>
    <xf numFmtId="0" fontId="12" fillId="23" borderId="7" xfId="0" applyFont="1" applyFill="1" applyBorder="1" applyAlignment="1">
      <alignment horizontal="center" wrapText="1"/>
    </xf>
    <xf numFmtId="0" fontId="12" fillId="24" borderId="28" xfId="0" applyFont="1" applyFill="1" applyBorder="1" applyAlignment="1">
      <alignment horizontal="center" wrapText="1"/>
    </xf>
    <xf numFmtId="0" fontId="12" fillId="24" borderId="29" xfId="0" applyFont="1" applyFill="1" applyBorder="1" applyAlignment="1">
      <alignment horizontal="center" wrapText="1"/>
    </xf>
    <xf numFmtId="0" fontId="12" fillId="24" borderId="30" xfId="0" applyFont="1" applyFill="1" applyBorder="1" applyAlignment="1">
      <alignment horizontal="center" wrapText="1"/>
    </xf>
    <xf numFmtId="0" fontId="12" fillId="19" borderId="4" xfId="0" applyFont="1" applyFill="1" applyBorder="1" applyAlignment="1">
      <alignment horizontal="center" wrapText="1"/>
    </xf>
    <xf numFmtId="0" fontId="12" fillId="19" borderId="12" xfId="0" applyFont="1" applyFill="1" applyBorder="1" applyAlignment="1">
      <alignment horizontal="center" wrapText="1"/>
    </xf>
    <xf numFmtId="0" fontId="12" fillId="19" borderId="7" xfId="0" applyFont="1" applyFill="1" applyBorder="1" applyAlignment="1">
      <alignment horizontal="center" wrapText="1"/>
    </xf>
    <xf numFmtId="0" fontId="12" fillId="22" borderId="4" xfId="0" applyFont="1" applyFill="1" applyBorder="1" applyAlignment="1">
      <alignment horizontal="center" wrapText="1"/>
    </xf>
    <xf numFmtId="0" fontId="12" fillId="22" borderId="7" xfId="0" applyFont="1" applyFill="1" applyBorder="1" applyAlignment="1">
      <alignment horizontal="center" wrapText="1"/>
    </xf>
    <xf numFmtId="0" fontId="7" fillId="15" borderId="15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17" xfId="0" applyFont="1" applyFill="1" applyBorder="1" applyAlignment="1">
      <alignment horizontal="center" vertical="center" wrapText="1"/>
    </xf>
    <xf numFmtId="0" fontId="7" fillId="16" borderId="15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17" xfId="0" applyFont="1" applyFill="1" applyBorder="1" applyAlignment="1">
      <alignment horizontal="center" vertical="center" wrapText="1"/>
    </xf>
    <xf numFmtId="0" fontId="7" fillId="17" borderId="1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7" xfId="0" applyFont="1" applyFill="1" applyBorder="1" applyAlignment="1">
      <alignment horizontal="center" vertical="center" wrapText="1"/>
    </xf>
    <xf numFmtId="0" fontId="7" fillId="40" borderId="15" xfId="0" applyFont="1" applyFill="1" applyBorder="1" applyAlignment="1">
      <alignment horizontal="center" vertical="center" wrapText="1"/>
    </xf>
    <xf numFmtId="0" fontId="7" fillId="40" borderId="1" xfId="0" applyFont="1" applyFill="1" applyBorder="1" applyAlignment="1">
      <alignment horizontal="center" vertical="center" wrapText="1"/>
    </xf>
    <xf numFmtId="0" fontId="7" fillId="40" borderId="17" xfId="0" applyFont="1" applyFill="1" applyBorder="1" applyAlignment="1">
      <alignment horizontal="center" vertical="center" wrapText="1"/>
    </xf>
    <xf numFmtId="0" fontId="11" fillId="43" borderId="23" xfId="0" applyFont="1" applyFill="1" applyBorder="1" applyAlignment="1">
      <alignment horizontal="center" vertical="center" wrapText="1"/>
    </xf>
    <xf numFmtId="0" fontId="11" fillId="43" borderId="4" xfId="0" applyFont="1" applyFill="1" applyBorder="1" applyAlignment="1">
      <alignment horizontal="center" vertical="center" wrapText="1"/>
    </xf>
    <xf numFmtId="0" fontId="11" fillId="43" borderId="21" xfId="0" applyFont="1" applyFill="1" applyBorder="1" applyAlignment="1">
      <alignment horizontal="center" vertical="center" wrapText="1"/>
    </xf>
    <xf numFmtId="0" fontId="11" fillId="43" borderId="22" xfId="0" applyFont="1" applyFill="1" applyBorder="1" applyAlignment="1">
      <alignment horizontal="center" vertical="center" wrapText="1"/>
    </xf>
    <xf numFmtId="0" fontId="12" fillId="20" borderId="4" xfId="0" applyFont="1" applyFill="1" applyBorder="1" applyAlignment="1">
      <alignment horizontal="center" wrapText="1"/>
    </xf>
    <xf numFmtId="0" fontId="12" fillId="20" borderId="12" xfId="0" applyFont="1" applyFill="1" applyBorder="1" applyAlignment="1">
      <alignment horizontal="center" wrapText="1"/>
    </xf>
    <xf numFmtId="0" fontId="12" fillId="20" borderId="7" xfId="0" applyFont="1" applyFill="1" applyBorder="1" applyAlignment="1">
      <alignment horizontal="center" wrapText="1"/>
    </xf>
    <xf numFmtId="0" fontId="12" fillId="21" borderId="4" xfId="0" applyFont="1" applyFill="1" applyBorder="1" applyAlignment="1">
      <alignment horizontal="center" wrapText="1"/>
    </xf>
    <xf numFmtId="0" fontId="12" fillId="21" borderId="12" xfId="0" applyFont="1" applyFill="1" applyBorder="1" applyAlignment="1">
      <alignment horizontal="center" wrapText="1"/>
    </xf>
    <xf numFmtId="0" fontId="12" fillId="21" borderId="7" xfId="0" applyFont="1" applyFill="1" applyBorder="1" applyAlignment="1">
      <alignment horizontal="center" wrapText="1"/>
    </xf>
    <xf numFmtId="0" fontId="12" fillId="22" borderId="12" xfId="0" applyFont="1" applyFill="1" applyBorder="1" applyAlignment="1">
      <alignment horizontal="center" wrapText="1"/>
    </xf>
    <xf numFmtId="0" fontId="28" fillId="43" borderId="13" xfId="0" applyFont="1" applyFill="1" applyBorder="1" applyAlignment="1">
      <alignment horizontal="center" wrapText="1"/>
    </xf>
    <xf numFmtId="0" fontId="28" fillId="43" borderId="14" xfId="0" applyFont="1" applyFill="1" applyBorder="1" applyAlignment="1">
      <alignment horizontal="center" wrapText="1"/>
    </xf>
    <xf numFmtId="0" fontId="28" fillId="43" borderId="14" xfId="0" applyFont="1" applyFill="1" applyBorder="1" applyAlignment="1">
      <alignment horizontal="center" vertical="center" wrapText="1"/>
    </xf>
    <xf numFmtId="0" fontId="28" fillId="43" borderId="20" xfId="0" applyFont="1" applyFill="1" applyBorder="1" applyAlignment="1">
      <alignment horizontal="center" vertical="center" wrapText="1"/>
    </xf>
    <xf numFmtId="0" fontId="7" fillId="43" borderId="27" xfId="0" applyFont="1" applyFill="1" applyBorder="1" applyAlignment="1">
      <alignment horizontal="center" vertical="center" wrapText="1"/>
    </xf>
    <xf numFmtId="0" fontId="7" fillId="43" borderId="5" xfId="0" applyFont="1" applyFill="1" applyBorder="1" applyAlignment="1">
      <alignment horizontal="center" vertical="center" wrapText="1"/>
    </xf>
    <xf numFmtId="0" fontId="7" fillId="43" borderId="31" xfId="0" applyFont="1" applyFill="1" applyBorder="1" applyAlignment="1">
      <alignment horizontal="center" vertical="center" wrapText="1"/>
    </xf>
    <xf numFmtId="0" fontId="7" fillId="37" borderId="15" xfId="0" applyFont="1" applyFill="1" applyBorder="1" applyAlignment="1">
      <alignment horizontal="center" vertical="center" wrapText="1"/>
    </xf>
    <xf numFmtId="0" fontId="7" fillId="37" borderId="1" xfId="0" applyFont="1" applyFill="1" applyBorder="1" applyAlignment="1">
      <alignment horizontal="center" vertical="center" wrapText="1"/>
    </xf>
    <xf numFmtId="0" fontId="7" fillId="37" borderId="17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3" borderId="17" xfId="0" applyFont="1" applyFill="1" applyBorder="1" applyAlignment="1">
      <alignment horizontal="center" vertical="center" wrapText="1"/>
    </xf>
    <xf numFmtId="0" fontId="7" fillId="14" borderId="15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4" borderId="17" xfId="0" applyFont="1" applyFill="1" applyBorder="1" applyAlignment="1">
      <alignment horizontal="center" vertical="center" wrapText="1"/>
    </xf>
    <xf numFmtId="0" fontId="26" fillId="30" borderId="18" xfId="0" applyFont="1" applyFill="1" applyBorder="1" applyAlignment="1">
      <alignment wrapText="1"/>
    </xf>
    <xf numFmtId="0" fontId="26" fillId="30" borderId="19" xfId="0" applyFont="1" applyFill="1" applyBorder="1" applyAlignment="1">
      <alignment wrapText="1"/>
    </xf>
    <xf numFmtId="0" fontId="26" fillId="31" borderId="18" xfId="0" applyFont="1" applyFill="1" applyBorder="1" applyAlignment="1">
      <alignment wrapText="1"/>
    </xf>
    <xf numFmtId="0" fontId="26" fillId="31" borderId="19" xfId="0" applyFont="1" applyFill="1" applyBorder="1" applyAlignment="1">
      <alignment wrapText="1"/>
    </xf>
    <xf numFmtId="0" fontId="26" fillId="32" borderId="18" xfId="0" applyFont="1" applyFill="1" applyBorder="1" applyAlignment="1">
      <alignment wrapText="1"/>
    </xf>
    <xf numFmtId="0" fontId="26" fillId="32" borderId="19" xfId="0" applyFont="1" applyFill="1" applyBorder="1" applyAlignment="1">
      <alignment wrapText="1"/>
    </xf>
    <xf numFmtId="0" fontId="26" fillId="33" borderId="18" xfId="0" applyFont="1" applyFill="1" applyBorder="1" applyAlignment="1">
      <alignment wrapText="1"/>
    </xf>
    <xf numFmtId="0" fontId="26" fillId="33" borderId="19" xfId="0" applyFont="1" applyFill="1" applyBorder="1" applyAlignment="1">
      <alignment wrapText="1"/>
    </xf>
    <xf numFmtId="0" fontId="27" fillId="41" borderId="18" xfId="0" applyFont="1" applyFill="1" applyBorder="1" applyAlignment="1">
      <alignment wrapText="1"/>
    </xf>
    <xf numFmtId="0" fontId="27" fillId="41" borderId="19" xfId="0" applyFont="1" applyFill="1" applyBorder="1" applyAlignment="1">
      <alignment wrapText="1"/>
    </xf>
    <xf numFmtId="0" fontId="12" fillId="27" borderId="27" xfId="0" applyFont="1" applyFill="1" applyBorder="1" applyAlignment="1">
      <alignment horizontal="center"/>
    </xf>
    <xf numFmtId="0" fontId="12" fillId="27" borderId="5" xfId="0" applyFont="1" applyFill="1" applyBorder="1" applyAlignment="1">
      <alignment horizontal="center"/>
    </xf>
    <xf numFmtId="0" fontId="12" fillId="27" borderId="3" xfId="0" applyFont="1" applyFill="1" applyBorder="1" applyAlignment="1">
      <alignment horizontal="center"/>
    </xf>
    <xf numFmtId="0" fontId="13" fillId="25" borderId="18" xfId="0" applyFont="1" applyFill="1" applyBorder="1" applyAlignment="1">
      <alignment horizontal="center" vertical="center" wrapText="1"/>
    </xf>
    <xf numFmtId="0" fontId="13" fillId="25" borderId="19" xfId="0" applyFont="1" applyFill="1" applyBorder="1" applyAlignment="1">
      <alignment horizontal="center" vertical="center" wrapText="1"/>
    </xf>
    <xf numFmtId="0" fontId="25" fillId="42" borderId="18" xfId="0" applyFont="1" applyFill="1" applyBorder="1" applyAlignment="1">
      <alignment wrapText="1"/>
    </xf>
    <xf numFmtId="0" fontId="25" fillId="42" borderId="19" xfId="0" applyFont="1" applyFill="1" applyBorder="1" applyAlignment="1">
      <alignment wrapText="1"/>
    </xf>
    <xf numFmtId="0" fontId="26" fillId="34" borderId="18" xfId="0" applyFont="1" applyFill="1" applyBorder="1" applyAlignment="1">
      <alignment wrapText="1"/>
    </xf>
    <xf numFmtId="0" fontId="26" fillId="34" borderId="19" xfId="0" applyFont="1" applyFill="1" applyBorder="1" applyAlignment="1">
      <alignment wrapText="1"/>
    </xf>
    <xf numFmtId="0" fontId="13" fillId="40" borderId="15" xfId="0" applyFont="1" applyFill="1" applyBorder="1" applyAlignment="1">
      <alignment wrapText="1"/>
    </xf>
    <xf numFmtId="0" fontId="13" fillId="40" borderId="1" xfId="0" applyFont="1" applyFill="1" applyBorder="1" applyAlignment="1">
      <alignment wrapText="1"/>
    </xf>
    <xf numFmtId="0" fontId="13" fillId="40" borderId="17" xfId="0" applyFont="1" applyFill="1" applyBorder="1" applyAlignment="1">
      <alignment wrapText="1"/>
    </xf>
    <xf numFmtId="0" fontId="26" fillId="28" borderId="18" xfId="0" applyFont="1" applyFill="1" applyBorder="1" applyAlignment="1">
      <alignment wrapText="1"/>
    </xf>
    <xf numFmtId="0" fontId="26" fillId="28" borderId="19" xfId="0" applyFont="1" applyFill="1" applyBorder="1" applyAlignment="1">
      <alignment wrapText="1"/>
    </xf>
    <xf numFmtId="0" fontId="26" fillId="29" borderId="18" xfId="0" applyFont="1" applyFill="1" applyBorder="1" applyAlignment="1">
      <alignment wrapText="1"/>
    </xf>
    <xf numFmtId="0" fontId="26" fillId="29" borderId="19" xfId="0" applyFont="1" applyFill="1" applyBorder="1" applyAlignment="1">
      <alignment wrapText="1"/>
    </xf>
    <xf numFmtId="0" fontId="13" fillId="25" borderId="15" xfId="0" applyFont="1" applyFill="1" applyBorder="1" applyAlignment="1">
      <alignment wrapText="1"/>
    </xf>
    <xf numFmtId="0" fontId="13" fillId="25" borderId="1" xfId="0" applyFont="1" applyFill="1" applyBorder="1" applyAlignment="1">
      <alignment wrapText="1"/>
    </xf>
    <xf numFmtId="0" fontId="13" fillId="25" borderId="17" xfId="0" applyFont="1" applyFill="1" applyBorder="1" applyAlignment="1">
      <alignment wrapText="1"/>
    </xf>
    <xf numFmtId="0" fontId="13" fillId="37" borderId="15" xfId="0" applyFont="1" applyFill="1" applyBorder="1" applyAlignment="1">
      <alignment wrapText="1"/>
    </xf>
    <xf numFmtId="0" fontId="13" fillId="37" borderId="1" xfId="0" applyFont="1" applyFill="1" applyBorder="1" applyAlignment="1">
      <alignment wrapText="1"/>
    </xf>
    <xf numFmtId="0" fontId="13" fillId="37" borderId="17" xfId="0" applyFont="1" applyFill="1" applyBorder="1" applyAlignment="1">
      <alignment wrapText="1"/>
    </xf>
    <xf numFmtId="0" fontId="13" fillId="13" borderId="15" xfId="0" applyFont="1" applyFill="1" applyBorder="1" applyAlignment="1">
      <alignment wrapText="1"/>
    </xf>
    <xf numFmtId="0" fontId="13" fillId="13" borderId="1" xfId="0" applyFont="1" applyFill="1" applyBorder="1" applyAlignment="1">
      <alignment wrapText="1"/>
    </xf>
    <xf numFmtId="0" fontId="13" fillId="13" borderId="17" xfId="0" applyFont="1" applyFill="1" applyBorder="1" applyAlignment="1">
      <alignment wrapText="1"/>
    </xf>
    <xf numFmtId="0" fontId="13" fillId="14" borderId="15" xfId="0" applyFont="1" applyFill="1" applyBorder="1" applyAlignment="1">
      <alignment wrapText="1"/>
    </xf>
    <xf numFmtId="0" fontId="13" fillId="14" borderId="1" xfId="0" applyFont="1" applyFill="1" applyBorder="1" applyAlignment="1">
      <alignment wrapText="1"/>
    </xf>
    <xf numFmtId="0" fontId="13" fillId="14" borderId="17" xfId="0" applyFont="1" applyFill="1" applyBorder="1" applyAlignment="1">
      <alignment wrapText="1"/>
    </xf>
    <xf numFmtId="0" fontId="13" fillId="38" borderId="15" xfId="0" applyFont="1" applyFill="1" applyBorder="1" applyAlignment="1">
      <alignment wrapText="1"/>
    </xf>
    <xf numFmtId="0" fontId="13" fillId="38" borderId="1" xfId="0" applyFont="1" applyFill="1" applyBorder="1" applyAlignment="1">
      <alignment wrapText="1"/>
    </xf>
    <xf numFmtId="0" fontId="13" fillId="38" borderId="17" xfId="0" applyFont="1" applyFill="1" applyBorder="1" applyAlignment="1">
      <alignment wrapText="1"/>
    </xf>
    <xf numFmtId="0" fontId="13" fillId="39" borderId="15" xfId="0" applyFont="1" applyFill="1" applyBorder="1" applyAlignment="1">
      <alignment wrapText="1"/>
    </xf>
    <xf numFmtId="0" fontId="13" fillId="39" borderId="1" xfId="0" applyFont="1" applyFill="1" applyBorder="1" applyAlignment="1">
      <alignment wrapText="1"/>
    </xf>
    <xf numFmtId="0" fontId="13" fillId="39" borderId="17" xfId="0" applyFont="1" applyFill="1" applyBorder="1" applyAlignment="1">
      <alignment wrapText="1"/>
    </xf>
    <xf numFmtId="0" fontId="10" fillId="25" borderId="13" xfId="0" applyFont="1" applyFill="1" applyBorder="1" applyAlignment="1">
      <alignment horizontal="center" wrapText="1"/>
    </xf>
    <xf numFmtId="0" fontId="10" fillId="25" borderId="14" xfId="0" applyFont="1" applyFill="1" applyBorder="1" applyAlignment="1">
      <alignment horizontal="center" wrapText="1"/>
    </xf>
    <xf numFmtId="0" fontId="10" fillId="25" borderId="20" xfId="0" applyFont="1" applyFill="1" applyBorder="1" applyAlignment="1">
      <alignment horizontal="center" wrapText="1"/>
    </xf>
    <xf numFmtId="0" fontId="11" fillId="26" borderId="15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11" fillId="26" borderId="17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horizontal="center" vertical="center" wrapText="1"/>
    </xf>
    <xf numFmtId="0" fontId="9" fillId="29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31" borderId="1" xfId="0" applyFont="1" applyFill="1" applyBorder="1" applyAlignment="1">
      <alignment horizontal="center" vertical="center" wrapText="1"/>
    </xf>
    <xf numFmtId="0" fontId="9" fillId="32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9" fillId="33" borderId="1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3"/>
  <sheetViews>
    <sheetView workbookViewId="0">
      <selection activeCell="P2" sqref="P2"/>
    </sheetView>
  </sheetViews>
  <sheetFormatPr defaultRowHeight="15"/>
  <cols>
    <col min="1" max="1" width="3.28515625" customWidth="1"/>
    <col min="2" max="2" width="4.28515625" bestFit="1" customWidth="1"/>
    <col min="3" max="3" width="28.7109375" style="15" customWidth="1"/>
    <col min="4" max="4" width="5.42578125" style="15" bestFit="1" customWidth="1"/>
    <col min="5" max="5" width="5" style="4" bestFit="1" customWidth="1"/>
    <col min="6" max="6" width="17.7109375" style="4" bestFit="1" customWidth="1"/>
    <col min="7" max="7" width="5.42578125" style="4" bestFit="1" customWidth="1"/>
    <col min="8" max="16" width="7.7109375" style="9" bestFit="1" customWidth="1"/>
    <col min="17" max="17" width="8.85546875" style="9" bestFit="1" customWidth="1"/>
    <col min="18" max="18" width="8.85546875" bestFit="1" customWidth="1"/>
    <col min="19" max="19" width="12.7109375" bestFit="1" customWidth="1"/>
    <col min="20" max="21" width="8.85546875" bestFit="1" customWidth="1"/>
  </cols>
  <sheetData>
    <row r="1" spans="2:21">
      <c r="D1" s="4"/>
    </row>
    <row r="2" spans="2:21">
      <c r="D2" s="2" t="s">
        <v>0</v>
      </c>
      <c r="E2" s="2" t="s">
        <v>1</v>
      </c>
      <c r="F2" s="2" t="s">
        <v>2</v>
      </c>
      <c r="G2" s="2" t="s">
        <v>0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6"/>
      <c r="T2" s="124"/>
      <c r="U2" s="124"/>
    </row>
    <row r="3" spans="2:21">
      <c r="B3" s="8" t="s">
        <v>3</v>
      </c>
      <c r="C3" s="16" t="s">
        <v>4</v>
      </c>
      <c r="D3" s="5">
        <v>1</v>
      </c>
      <c r="E3" s="5">
        <v>1</v>
      </c>
      <c r="F3" s="6" t="s">
        <v>5</v>
      </c>
      <c r="G3" s="5">
        <v>1</v>
      </c>
      <c r="H3" s="130" t="s">
        <v>6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6"/>
      <c r="T3" s="124"/>
      <c r="U3" s="124"/>
    </row>
    <row r="4" spans="2:21">
      <c r="B4" s="7" t="s">
        <v>7</v>
      </c>
      <c r="C4" s="17" t="s">
        <v>8</v>
      </c>
      <c r="D4" s="5">
        <v>3</v>
      </c>
      <c r="E4" s="5">
        <v>1</v>
      </c>
      <c r="F4" s="6" t="s">
        <v>5</v>
      </c>
      <c r="G4" s="5">
        <v>3</v>
      </c>
      <c r="H4" s="130"/>
      <c r="I4" s="132"/>
      <c r="J4" s="129"/>
      <c r="K4" s="129"/>
      <c r="L4" s="129"/>
      <c r="M4" s="129"/>
      <c r="N4" s="129"/>
      <c r="O4" s="129"/>
      <c r="P4" s="129"/>
      <c r="Q4" s="129"/>
      <c r="R4" s="129"/>
      <c r="S4" s="126"/>
      <c r="T4" s="124"/>
      <c r="U4" s="124"/>
    </row>
    <row r="5" spans="2:21">
      <c r="B5" s="1" t="s">
        <v>9</v>
      </c>
      <c r="C5" s="18" t="s">
        <v>10</v>
      </c>
      <c r="D5" s="6">
        <v>1</v>
      </c>
      <c r="E5" s="5">
        <v>1</v>
      </c>
      <c r="F5" s="6" t="s">
        <v>11</v>
      </c>
      <c r="G5" s="6">
        <v>1</v>
      </c>
      <c r="H5" s="135"/>
      <c r="I5" s="133" t="s">
        <v>12</v>
      </c>
      <c r="J5" s="129"/>
      <c r="K5" s="129"/>
      <c r="L5" s="129"/>
      <c r="M5" s="129"/>
      <c r="N5" s="129"/>
      <c r="O5" s="129"/>
      <c r="P5" s="129"/>
      <c r="Q5" s="129"/>
      <c r="R5" s="129"/>
      <c r="S5" s="126"/>
      <c r="T5" s="124"/>
      <c r="U5" s="124"/>
    </row>
    <row r="6" spans="2:21" ht="29.25">
      <c r="B6" s="1" t="s">
        <v>13</v>
      </c>
      <c r="C6" s="18" t="s">
        <v>14</v>
      </c>
      <c r="D6" s="6">
        <v>1</v>
      </c>
      <c r="E6" s="5">
        <v>1</v>
      </c>
      <c r="F6" s="6" t="s">
        <v>11</v>
      </c>
      <c r="G6" s="6">
        <v>1</v>
      </c>
      <c r="H6" s="136"/>
      <c r="I6" s="133"/>
      <c r="J6" s="129"/>
      <c r="K6" s="129"/>
      <c r="L6" s="129"/>
      <c r="M6" s="129"/>
      <c r="N6" s="129"/>
      <c r="O6" s="129"/>
      <c r="P6" s="129"/>
      <c r="Q6" s="129"/>
      <c r="R6" s="129"/>
      <c r="S6" s="126"/>
      <c r="T6" s="124"/>
      <c r="U6" s="124"/>
    </row>
    <row r="7" spans="2:21" ht="29.25">
      <c r="B7" s="1" t="s">
        <v>15</v>
      </c>
      <c r="C7" s="18" t="s">
        <v>16</v>
      </c>
      <c r="D7" s="6">
        <v>1</v>
      </c>
      <c r="E7" s="6">
        <v>1</v>
      </c>
      <c r="F7" s="6" t="s">
        <v>11</v>
      </c>
      <c r="G7" s="6">
        <v>1</v>
      </c>
      <c r="H7" s="136"/>
      <c r="I7" s="133"/>
      <c r="J7" s="129"/>
      <c r="K7" s="129"/>
      <c r="L7" s="129"/>
      <c r="M7" s="129"/>
      <c r="N7" s="129"/>
      <c r="O7" s="129"/>
      <c r="P7" s="129"/>
      <c r="Q7" s="129"/>
      <c r="R7" s="129"/>
      <c r="S7" s="126"/>
      <c r="T7" s="124"/>
      <c r="U7" s="124"/>
    </row>
    <row r="8" spans="2:21" ht="29.25">
      <c r="B8" s="1" t="s">
        <v>17</v>
      </c>
      <c r="C8" s="18" t="s">
        <v>18</v>
      </c>
      <c r="D8" s="6">
        <v>1</v>
      </c>
      <c r="E8" s="6">
        <v>1</v>
      </c>
      <c r="F8" s="6" t="s">
        <v>5</v>
      </c>
      <c r="G8" s="6">
        <v>1</v>
      </c>
      <c r="H8" s="136"/>
      <c r="I8" s="133"/>
      <c r="J8" s="132"/>
      <c r="K8" s="132"/>
      <c r="L8" s="129"/>
      <c r="M8" s="129"/>
      <c r="N8" s="129"/>
      <c r="O8" s="129"/>
      <c r="P8" s="129"/>
      <c r="Q8" s="129"/>
      <c r="R8" s="129"/>
      <c r="S8" s="126"/>
      <c r="T8" s="124"/>
      <c r="U8" s="124"/>
    </row>
    <row r="9" spans="2:21">
      <c r="B9" s="1" t="s">
        <v>19</v>
      </c>
      <c r="C9" s="18" t="s">
        <v>20</v>
      </c>
      <c r="D9" s="6">
        <v>5</v>
      </c>
      <c r="E9" s="6">
        <v>2</v>
      </c>
      <c r="F9" s="6" t="s">
        <v>21</v>
      </c>
      <c r="G9" s="6">
        <v>5</v>
      </c>
      <c r="H9" s="136"/>
      <c r="I9" s="128"/>
      <c r="J9" s="10" t="s">
        <v>22</v>
      </c>
      <c r="K9" s="133" t="s">
        <v>23</v>
      </c>
      <c r="L9" s="129"/>
      <c r="M9" s="129"/>
      <c r="N9" s="129"/>
      <c r="O9" s="129"/>
      <c r="P9" s="129"/>
      <c r="Q9" s="129"/>
      <c r="R9" s="129"/>
      <c r="S9" s="126"/>
      <c r="T9" s="124"/>
      <c r="U9" s="124"/>
    </row>
    <row r="10" spans="2:21">
      <c r="B10" s="1" t="s">
        <v>24</v>
      </c>
      <c r="C10" s="18" t="s">
        <v>25</v>
      </c>
      <c r="D10" s="6">
        <v>1</v>
      </c>
      <c r="E10" s="6">
        <v>2</v>
      </c>
      <c r="F10" s="6" t="s">
        <v>5</v>
      </c>
      <c r="G10" s="6">
        <v>1</v>
      </c>
      <c r="H10" s="136"/>
      <c r="I10" s="129"/>
      <c r="J10" s="128"/>
      <c r="K10" s="133"/>
      <c r="L10" s="132"/>
      <c r="M10" s="132"/>
      <c r="N10" s="129"/>
      <c r="O10" s="129"/>
      <c r="P10" s="129"/>
      <c r="Q10" s="129"/>
      <c r="R10" s="129"/>
      <c r="S10" s="126"/>
      <c r="T10" s="124"/>
      <c r="U10" s="124"/>
    </row>
    <row r="11" spans="2:21">
      <c r="B11" s="1" t="s">
        <v>26</v>
      </c>
      <c r="C11" s="18" t="s">
        <v>27</v>
      </c>
      <c r="D11" s="6">
        <v>8</v>
      </c>
      <c r="E11" s="6">
        <v>2</v>
      </c>
      <c r="F11" s="6" t="s">
        <v>21</v>
      </c>
      <c r="G11" s="6">
        <v>8</v>
      </c>
      <c r="H11" s="136"/>
      <c r="I11" s="129"/>
      <c r="J11" s="129"/>
      <c r="K11" s="134"/>
      <c r="L11" s="10" t="s">
        <v>28</v>
      </c>
      <c r="M11" s="133" t="s">
        <v>29</v>
      </c>
      <c r="N11" s="129"/>
      <c r="O11" s="129"/>
      <c r="P11" s="129"/>
      <c r="Q11" s="129"/>
      <c r="R11" s="129"/>
      <c r="S11" s="126"/>
      <c r="T11" s="124"/>
      <c r="U11" s="124"/>
    </row>
    <row r="12" spans="2:21">
      <c r="B12" s="1" t="s">
        <v>30</v>
      </c>
      <c r="C12" s="18" t="s">
        <v>10</v>
      </c>
      <c r="D12" s="6">
        <v>1</v>
      </c>
      <c r="E12" s="6">
        <v>3</v>
      </c>
      <c r="F12" s="6" t="s">
        <v>31</v>
      </c>
      <c r="G12" s="6">
        <v>1</v>
      </c>
      <c r="H12" s="136"/>
      <c r="I12" s="129"/>
      <c r="J12" s="129"/>
      <c r="K12" s="128"/>
      <c r="L12" s="128"/>
      <c r="M12" s="133"/>
      <c r="N12" s="132"/>
      <c r="O12" s="129"/>
      <c r="P12" s="129"/>
      <c r="Q12" s="129"/>
      <c r="R12" s="129"/>
      <c r="S12" s="126"/>
      <c r="T12" s="124"/>
      <c r="U12" s="124"/>
    </row>
    <row r="13" spans="2:21" ht="29.25">
      <c r="B13" s="1" t="s">
        <v>32</v>
      </c>
      <c r="C13" s="18" t="s">
        <v>33</v>
      </c>
      <c r="D13" s="6">
        <v>5</v>
      </c>
      <c r="E13" s="6">
        <v>3</v>
      </c>
      <c r="F13" s="6" t="s">
        <v>31</v>
      </c>
      <c r="G13" s="6">
        <v>5</v>
      </c>
      <c r="H13" s="136"/>
      <c r="I13" s="129"/>
      <c r="J13" s="129"/>
      <c r="K13" s="129"/>
      <c r="L13" s="129"/>
      <c r="M13" s="133"/>
      <c r="N13" s="11" t="s">
        <v>34</v>
      </c>
      <c r="O13" s="132"/>
      <c r="P13" s="132"/>
      <c r="Q13" s="129"/>
      <c r="R13" s="129"/>
      <c r="S13" s="126"/>
      <c r="T13" s="124"/>
      <c r="U13" s="124"/>
    </row>
    <row r="14" spans="2:21">
      <c r="B14" s="1" t="s">
        <v>35</v>
      </c>
      <c r="C14" s="18" t="s">
        <v>36</v>
      </c>
      <c r="D14" s="6">
        <v>5</v>
      </c>
      <c r="E14" s="6">
        <v>3</v>
      </c>
      <c r="F14" s="6" t="s">
        <v>31</v>
      </c>
      <c r="G14" s="6">
        <v>5</v>
      </c>
      <c r="H14" s="136"/>
      <c r="I14" s="129"/>
      <c r="J14" s="129"/>
      <c r="K14" s="129"/>
      <c r="L14" s="129"/>
      <c r="M14" s="129"/>
      <c r="N14" s="128"/>
      <c r="O14" s="12" t="s">
        <v>37</v>
      </c>
      <c r="P14" s="130" t="s">
        <v>38</v>
      </c>
      <c r="Q14" s="132"/>
      <c r="R14" s="132"/>
      <c r="S14" s="126"/>
      <c r="T14" s="124"/>
      <c r="U14" s="124"/>
    </row>
    <row r="15" spans="2:21">
      <c r="B15" s="1" t="s">
        <v>39</v>
      </c>
      <c r="C15" s="18" t="s">
        <v>40</v>
      </c>
      <c r="D15" s="6">
        <v>8</v>
      </c>
      <c r="E15" s="6">
        <v>4</v>
      </c>
      <c r="F15" s="6" t="s">
        <v>5</v>
      </c>
      <c r="G15" s="6">
        <v>8</v>
      </c>
      <c r="H15" s="136"/>
      <c r="I15" s="129"/>
      <c r="J15" s="129"/>
      <c r="K15" s="129"/>
      <c r="L15" s="129"/>
      <c r="M15" s="129"/>
      <c r="N15" s="129"/>
      <c r="O15" s="128"/>
      <c r="P15" s="131"/>
      <c r="Q15" s="12" t="s">
        <v>41</v>
      </c>
      <c r="R15" s="130" t="s">
        <v>42</v>
      </c>
      <c r="S15" s="127"/>
      <c r="T15" s="125"/>
      <c r="U15" s="124"/>
    </row>
    <row r="16" spans="2:21" ht="29.25">
      <c r="B16" s="3" t="s">
        <v>43</v>
      </c>
      <c r="C16" s="19" t="s">
        <v>44</v>
      </c>
      <c r="D16" s="6">
        <v>13</v>
      </c>
      <c r="E16" s="6">
        <v>4</v>
      </c>
      <c r="F16" s="6" t="s">
        <v>5</v>
      </c>
      <c r="G16" s="6">
        <v>13</v>
      </c>
      <c r="H16" s="136"/>
      <c r="I16" s="129"/>
      <c r="J16" s="129"/>
      <c r="K16" s="129"/>
      <c r="L16" s="129"/>
      <c r="M16" s="129"/>
      <c r="N16" s="129"/>
      <c r="O16" s="129"/>
      <c r="P16" s="128"/>
      <c r="Q16" s="128"/>
      <c r="R16" s="130"/>
      <c r="S16" s="13" t="s">
        <v>45</v>
      </c>
      <c r="T16" s="130" t="s">
        <v>46</v>
      </c>
      <c r="U16" s="125"/>
    </row>
    <row r="17" spans="2:21" ht="29.25">
      <c r="B17" s="1" t="s">
        <v>47</v>
      </c>
      <c r="C17" s="18" t="s">
        <v>48</v>
      </c>
      <c r="D17" s="6">
        <v>3</v>
      </c>
      <c r="E17" s="6">
        <v>4</v>
      </c>
      <c r="F17" s="6" t="s">
        <v>49</v>
      </c>
      <c r="G17" s="6">
        <v>3</v>
      </c>
      <c r="H17" s="136"/>
      <c r="I17" s="129"/>
      <c r="J17" s="129"/>
      <c r="K17" s="129"/>
      <c r="L17" s="129"/>
      <c r="M17" s="129"/>
      <c r="N17" s="129"/>
      <c r="O17" s="129"/>
      <c r="P17" s="129"/>
      <c r="Q17" s="129"/>
      <c r="R17" s="9"/>
      <c r="T17" s="131"/>
      <c r="U17" s="14" t="s">
        <v>50</v>
      </c>
    </row>
    <row r="18" spans="2:21">
      <c r="D18" s="4"/>
      <c r="R18" s="9"/>
    </row>
    <row r="19" spans="2:21">
      <c r="D19" s="4"/>
      <c r="R19" s="9"/>
    </row>
    <row r="20" spans="2:21">
      <c r="D20" s="4"/>
      <c r="R20" s="9"/>
    </row>
    <row r="21" spans="2:21">
      <c r="D21" s="4"/>
      <c r="R21" s="9"/>
    </row>
    <row r="22" spans="2:21">
      <c r="D22" s="4"/>
      <c r="R22" s="9"/>
    </row>
    <row r="23" spans="2:21">
      <c r="D23" s="4"/>
      <c r="R23" s="9"/>
    </row>
  </sheetData>
  <mergeCells count="30">
    <mergeCell ref="H3:H4"/>
    <mergeCell ref="I5:I8"/>
    <mergeCell ref="K9:K11"/>
    <mergeCell ref="I2:I4"/>
    <mergeCell ref="J2:J8"/>
    <mergeCell ref="K2:K8"/>
    <mergeCell ref="H5:H17"/>
    <mergeCell ref="I9:I17"/>
    <mergeCell ref="J10:J17"/>
    <mergeCell ref="K12:K17"/>
    <mergeCell ref="L12:L17"/>
    <mergeCell ref="L2:L10"/>
    <mergeCell ref="M2:M10"/>
    <mergeCell ref="N2:N12"/>
    <mergeCell ref="O2:O13"/>
    <mergeCell ref="M14:M17"/>
    <mergeCell ref="N14:N17"/>
    <mergeCell ref="M11:M13"/>
    <mergeCell ref="T2:T15"/>
    <mergeCell ref="S2:S15"/>
    <mergeCell ref="U2:U16"/>
    <mergeCell ref="O15:O17"/>
    <mergeCell ref="P16:P17"/>
    <mergeCell ref="Q16:Q17"/>
    <mergeCell ref="T16:T17"/>
    <mergeCell ref="P2:P13"/>
    <mergeCell ref="R2:R14"/>
    <mergeCell ref="Q2:Q14"/>
    <mergeCell ref="P14:P15"/>
    <mergeCell ref="R15:R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3EFA-6AC0-4373-AC2B-26A1CCD14B6F}">
  <dimension ref="B2:L16"/>
  <sheetViews>
    <sheetView showGridLines="0" topLeftCell="B3" workbookViewId="0">
      <selection activeCell="M8" sqref="M8"/>
    </sheetView>
  </sheetViews>
  <sheetFormatPr defaultColWidth="12" defaultRowHeight="13.5" customHeight="1"/>
  <cols>
    <col min="1" max="1" width="9" customWidth="1"/>
    <col min="2" max="2" width="15.28515625" customWidth="1"/>
    <col min="3" max="3" width="19.5703125" customWidth="1"/>
    <col min="4" max="4" width="11.5703125" customWidth="1"/>
    <col min="5" max="5" width="10.85546875" customWidth="1"/>
    <col min="6" max="6" width="11.5703125" customWidth="1"/>
    <col min="7" max="7" width="23.5703125" bestFit="1" customWidth="1"/>
    <col min="9" max="9" width="10.85546875" customWidth="1"/>
    <col min="11" max="11" width="12" style="33"/>
  </cols>
  <sheetData>
    <row r="2" spans="2:12" ht="30.75" customHeight="1">
      <c r="B2" s="32" t="s">
        <v>51</v>
      </c>
      <c r="C2" s="32" t="s">
        <v>52</v>
      </c>
      <c r="D2" s="32" t="s">
        <v>53</v>
      </c>
      <c r="E2" s="32" t="s">
        <v>54</v>
      </c>
      <c r="F2" s="32" t="s">
        <v>55</v>
      </c>
      <c r="G2" s="32" t="s">
        <v>56</v>
      </c>
      <c r="I2" s="140" t="s">
        <v>57</v>
      </c>
      <c r="J2" s="142"/>
      <c r="K2" s="31">
        <v>2</v>
      </c>
    </row>
    <row r="3" spans="2:12" ht="30.75" customHeight="1">
      <c r="B3" s="137" t="s">
        <v>58</v>
      </c>
      <c r="C3" s="30" t="s">
        <v>59</v>
      </c>
      <c r="D3" s="31">
        <v>6</v>
      </c>
      <c r="E3" s="31">
        <v>4</v>
      </c>
      <c r="F3" s="31">
        <v>2</v>
      </c>
      <c r="G3" s="31">
        <f>+(D3+(4*E3)+F3)/6</f>
        <v>4</v>
      </c>
      <c r="I3" s="140" t="s">
        <v>60</v>
      </c>
      <c r="J3" s="142"/>
      <c r="K3" s="31">
        <v>40</v>
      </c>
    </row>
    <row r="4" spans="2:12" ht="30.75" customHeight="1">
      <c r="B4" s="139"/>
      <c r="C4" s="30" t="s">
        <v>61</v>
      </c>
      <c r="D4" s="31">
        <v>4</v>
      </c>
      <c r="E4" s="31">
        <v>2</v>
      </c>
      <c r="F4" s="31">
        <v>1</v>
      </c>
      <c r="G4" s="31">
        <f t="shared" ref="G4:G15" si="0">+(D4+(4*E4)+F4)/6</f>
        <v>2.1666666666666665</v>
      </c>
      <c r="I4" s="140" t="s">
        <v>62</v>
      </c>
      <c r="J4" s="142"/>
      <c r="K4" s="31">
        <v>3</v>
      </c>
    </row>
    <row r="5" spans="2:12" ht="30.75" customHeight="1">
      <c r="B5" s="137" t="s">
        <v>63</v>
      </c>
      <c r="C5" s="30" t="s">
        <v>64</v>
      </c>
      <c r="D5" s="31">
        <v>6</v>
      </c>
      <c r="E5" s="31">
        <v>4</v>
      </c>
      <c r="F5" s="31">
        <v>3</v>
      </c>
      <c r="G5" s="31">
        <f t="shared" si="0"/>
        <v>4.166666666666667</v>
      </c>
      <c r="I5" s="140" t="s">
        <v>65</v>
      </c>
      <c r="J5" s="142"/>
      <c r="K5" s="31">
        <f>5.6/8</f>
        <v>0.7</v>
      </c>
    </row>
    <row r="6" spans="2:12" ht="30.75" customHeight="1">
      <c r="B6" s="138"/>
      <c r="C6" s="30" t="s">
        <v>66</v>
      </c>
      <c r="D6" s="31">
        <v>5</v>
      </c>
      <c r="E6" s="31">
        <v>5</v>
      </c>
      <c r="F6" s="31">
        <v>5</v>
      </c>
      <c r="G6" s="31">
        <f t="shared" si="0"/>
        <v>5</v>
      </c>
      <c r="I6" s="143" t="s">
        <v>67</v>
      </c>
      <c r="J6" s="144"/>
      <c r="K6" s="31">
        <f>+K2*K3*K4*K5</f>
        <v>168</v>
      </c>
    </row>
    <row r="7" spans="2:12" ht="30.75" customHeight="1">
      <c r="B7" s="139"/>
      <c r="C7" s="30" t="s">
        <v>68</v>
      </c>
      <c r="D7" s="31">
        <v>4</v>
      </c>
      <c r="E7" s="31">
        <v>3</v>
      </c>
      <c r="F7" s="31">
        <v>1</v>
      </c>
      <c r="G7" s="31">
        <f t="shared" si="0"/>
        <v>2.8333333333333335</v>
      </c>
      <c r="I7" s="143" t="s">
        <v>69</v>
      </c>
      <c r="J7" s="144"/>
      <c r="K7" s="31">
        <f>G16</f>
        <v>65</v>
      </c>
      <c r="L7" t="s">
        <v>70</v>
      </c>
    </row>
    <row r="8" spans="2:12" ht="30.75" customHeight="1">
      <c r="B8" s="137" t="s">
        <v>71</v>
      </c>
      <c r="C8" s="30" t="s">
        <v>72</v>
      </c>
      <c r="D8" s="31">
        <v>5</v>
      </c>
      <c r="E8" s="31">
        <v>4</v>
      </c>
      <c r="F8" s="31">
        <v>2</v>
      </c>
      <c r="G8" s="31">
        <f t="shared" si="0"/>
        <v>3.8333333333333335</v>
      </c>
      <c r="I8" s="143" t="s">
        <v>73</v>
      </c>
      <c r="J8" s="144"/>
      <c r="K8" s="31">
        <f>K6/K7</f>
        <v>2.5846153846153848</v>
      </c>
      <c r="L8" t="s">
        <v>74</v>
      </c>
    </row>
    <row r="9" spans="2:12" ht="30.75" customHeight="1">
      <c r="B9" s="138"/>
      <c r="C9" s="30" t="s">
        <v>75</v>
      </c>
      <c r="D9" s="31">
        <v>18</v>
      </c>
      <c r="E9" s="31">
        <v>12</v>
      </c>
      <c r="F9" s="31">
        <v>8</v>
      </c>
      <c r="G9" s="31">
        <f t="shared" si="0"/>
        <v>12.333333333333334</v>
      </c>
    </row>
    <row r="10" spans="2:12" ht="30.75" customHeight="1">
      <c r="B10" s="138"/>
      <c r="C10" s="30" t="s">
        <v>76</v>
      </c>
      <c r="D10" s="31">
        <v>18</v>
      </c>
      <c r="E10" s="31">
        <v>12</v>
      </c>
      <c r="F10" s="31">
        <v>8</v>
      </c>
      <c r="G10" s="31">
        <f t="shared" si="0"/>
        <v>12.333333333333334</v>
      </c>
    </row>
    <row r="11" spans="2:12" ht="30.75" customHeight="1">
      <c r="B11" s="139"/>
      <c r="C11" s="30" t="s">
        <v>77</v>
      </c>
      <c r="D11" s="31">
        <v>10</v>
      </c>
      <c r="E11" s="31">
        <v>8</v>
      </c>
      <c r="F11" s="31">
        <v>5</v>
      </c>
      <c r="G11" s="31">
        <f t="shared" si="0"/>
        <v>7.833333333333333</v>
      </c>
    </row>
    <row r="12" spans="2:12" ht="30.75" customHeight="1">
      <c r="B12" s="34" t="s">
        <v>78</v>
      </c>
      <c r="C12" s="30" t="s">
        <v>78</v>
      </c>
      <c r="D12" s="31">
        <v>8</v>
      </c>
      <c r="E12" s="31">
        <v>4</v>
      </c>
      <c r="F12" s="31">
        <v>3</v>
      </c>
      <c r="G12" s="31">
        <f t="shared" si="0"/>
        <v>4.5</v>
      </c>
    </row>
    <row r="13" spans="2:12" ht="30.75" customHeight="1">
      <c r="B13" s="137" t="s">
        <v>79</v>
      </c>
      <c r="C13" s="30" t="s">
        <v>80</v>
      </c>
      <c r="D13" s="31">
        <v>3</v>
      </c>
      <c r="E13" s="31">
        <v>2</v>
      </c>
      <c r="F13" s="31">
        <v>1</v>
      </c>
      <c r="G13" s="31">
        <f t="shared" si="0"/>
        <v>2</v>
      </c>
    </row>
    <row r="14" spans="2:12" ht="30.75" customHeight="1">
      <c r="B14" s="138"/>
      <c r="C14" s="30" t="s">
        <v>81</v>
      </c>
      <c r="D14" s="31">
        <v>3</v>
      </c>
      <c r="E14" s="31">
        <v>2</v>
      </c>
      <c r="F14" s="31">
        <v>1</v>
      </c>
      <c r="G14" s="31">
        <f t="shared" si="0"/>
        <v>2</v>
      </c>
    </row>
    <row r="15" spans="2:12" ht="30.75" customHeight="1">
      <c r="B15" s="139"/>
      <c r="C15" s="30" t="s">
        <v>82</v>
      </c>
      <c r="D15" s="31">
        <v>3</v>
      </c>
      <c r="E15" s="31">
        <v>2</v>
      </c>
      <c r="F15" s="31">
        <v>1</v>
      </c>
      <c r="G15" s="31">
        <f t="shared" si="0"/>
        <v>2</v>
      </c>
    </row>
    <row r="16" spans="2:12" ht="30.75" customHeight="1">
      <c r="B16" s="140" t="s">
        <v>83</v>
      </c>
      <c r="C16" s="141"/>
      <c r="D16" s="141"/>
      <c r="E16" s="141"/>
      <c r="F16" s="142"/>
      <c r="G16" s="31">
        <f>SUM(G3:G15)</f>
        <v>65</v>
      </c>
    </row>
  </sheetData>
  <mergeCells count="12">
    <mergeCell ref="B13:B15"/>
    <mergeCell ref="B16:F16"/>
    <mergeCell ref="I8:J8"/>
    <mergeCell ref="I7:J7"/>
    <mergeCell ref="I2:J2"/>
    <mergeCell ref="B3:B4"/>
    <mergeCell ref="I3:J3"/>
    <mergeCell ref="I4:J4"/>
    <mergeCell ref="B5:B7"/>
    <mergeCell ref="I5:J5"/>
    <mergeCell ref="I6:J6"/>
    <mergeCell ref="B8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E98E-F862-448F-B35F-79B3864F49D5}">
  <dimension ref="A1:K70"/>
  <sheetViews>
    <sheetView tabSelected="1" workbookViewId="0">
      <pane xSplit="2" ySplit="2" topLeftCell="C3" activePane="bottomRight" state="frozen"/>
      <selection pane="bottomRight" activeCell="A4" sqref="A4"/>
      <selection pane="bottomLeft"/>
      <selection pane="topRight"/>
    </sheetView>
  </sheetViews>
  <sheetFormatPr defaultRowHeight="15"/>
  <cols>
    <col min="1" max="1" width="5.85546875" customWidth="1"/>
    <col min="2" max="2" width="42.85546875" customWidth="1"/>
    <col min="3" max="3" width="11.7109375" customWidth="1"/>
    <col min="6" max="6" width="8" bestFit="1" customWidth="1"/>
    <col min="8" max="8" width="8" bestFit="1" customWidth="1"/>
    <col min="9" max="9" width="9" customWidth="1"/>
  </cols>
  <sheetData>
    <row r="1" spans="1:11" ht="15" customHeight="1">
      <c r="A1" s="179" t="s">
        <v>84</v>
      </c>
      <c r="B1" s="180"/>
      <c r="C1" s="180"/>
      <c r="D1" s="180"/>
      <c r="E1" s="180"/>
      <c r="F1" s="181" t="s">
        <v>85</v>
      </c>
      <c r="G1" s="181"/>
      <c r="H1" s="181"/>
      <c r="I1" s="181"/>
      <c r="J1" s="181"/>
      <c r="K1" s="182"/>
    </row>
    <row r="2" spans="1:11">
      <c r="A2" s="91" t="s">
        <v>86</v>
      </c>
      <c r="B2" s="92" t="s">
        <v>87</v>
      </c>
      <c r="C2" s="92" t="s">
        <v>2</v>
      </c>
      <c r="D2" s="92" t="s">
        <v>0</v>
      </c>
      <c r="E2" s="92" t="s">
        <v>1</v>
      </c>
      <c r="F2" s="93" t="s">
        <v>88</v>
      </c>
      <c r="G2" s="94" t="s">
        <v>6</v>
      </c>
      <c r="H2" s="95" t="s">
        <v>12</v>
      </c>
      <c r="I2" s="96" t="s">
        <v>22</v>
      </c>
      <c r="J2" s="97" t="s">
        <v>23</v>
      </c>
      <c r="K2" s="98" t="s">
        <v>28</v>
      </c>
    </row>
    <row r="3" spans="1:11" ht="15" customHeight="1">
      <c r="A3" s="183" t="s">
        <v>89</v>
      </c>
      <c r="B3" s="184"/>
      <c r="C3" s="184"/>
      <c r="D3" s="184"/>
      <c r="E3" s="184"/>
      <c r="F3" s="184"/>
      <c r="G3" s="184"/>
      <c r="H3" s="184"/>
      <c r="I3" s="184"/>
      <c r="J3" s="184"/>
      <c r="K3" s="185"/>
    </row>
    <row r="4" spans="1:11" ht="22.5">
      <c r="A4" s="77" t="s">
        <v>3</v>
      </c>
      <c r="B4" s="63" t="s">
        <v>90</v>
      </c>
      <c r="C4" s="64" t="s">
        <v>91</v>
      </c>
      <c r="D4" s="65">
        <v>1</v>
      </c>
      <c r="E4" s="66">
        <v>1</v>
      </c>
      <c r="F4" s="67" t="s">
        <v>92</v>
      </c>
      <c r="G4" s="172" t="s">
        <v>92</v>
      </c>
      <c r="H4" s="67" t="s">
        <v>92</v>
      </c>
      <c r="I4" s="67" t="s">
        <v>92</v>
      </c>
      <c r="J4" s="67" t="s">
        <v>92</v>
      </c>
      <c r="K4" s="78" t="s">
        <v>92</v>
      </c>
    </row>
    <row r="5" spans="1:11" ht="22.5">
      <c r="A5" s="77" t="s">
        <v>7</v>
      </c>
      <c r="B5" s="69" t="s">
        <v>93</v>
      </c>
      <c r="C5" s="70" t="s">
        <v>5</v>
      </c>
      <c r="D5" s="71">
        <v>1</v>
      </c>
      <c r="E5" s="72">
        <v>1</v>
      </c>
      <c r="F5" s="73" t="s">
        <v>92</v>
      </c>
      <c r="G5" s="173"/>
      <c r="H5" s="73" t="s">
        <v>92</v>
      </c>
      <c r="I5" s="73" t="s">
        <v>92</v>
      </c>
      <c r="J5" s="73" t="s">
        <v>92</v>
      </c>
      <c r="K5" s="79" t="s">
        <v>92</v>
      </c>
    </row>
    <row r="6" spans="1:11" ht="22.5">
      <c r="A6" s="77" t="s">
        <v>9</v>
      </c>
      <c r="B6" s="63" t="s">
        <v>94</v>
      </c>
      <c r="C6" s="64" t="s">
        <v>5</v>
      </c>
      <c r="D6" s="65">
        <v>1</v>
      </c>
      <c r="E6" s="66">
        <v>1</v>
      </c>
      <c r="F6" s="67" t="s">
        <v>92</v>
      </c>
      <c r="G6" s="173"/>
      <c r="H6" s="67" t="s">
        <v>92</v>
      </c>
      <c r="I6" s="67" t="s">
        <v>92</v>
      </c>
      <c r="J6" s="67" t="s">
        <v>92</v>
      </c>
      <c r="K6" s="78" t="s">
        <v>92</v>
      </c>
    </row>
    <row r="7" spans="1:11" ht="22.5">
      <c r="A7" s="77" t="s">
        <v>13</v>
      </c>
      <c r="B7" s="69" t="s">
        <v>95</v>
      </c>
      <c r="C7" s="70" t="s">
        <v>91</v>
      </c>
      <c r="D7" s="71">
        <v>1</v>
      </c>
      <c r="E7" s="72">
        <v>1</v>
      </c>
      <c r="F7" s="73" t="s">
        <v>92</v>
      </c>
      <c r="G7" s="173"/>
      <c r="H7" s="73" t="s">
        <v>92</v>
      </c>
      <c r="I7" s="73" t="s">
        <v>92</v>
      </c>
      <c r="J7" s="73" t="s">
        <v>92</v>
      </c>
      <c r="K7" s="79" t="s">
        <v>92</v>
      </c>
    </row>
    <row r="8" spans="1:11" ht="22.5">
      <c r="A8" s="77" t="s">
        <v>15</v>
      </c>
      <c r="B8" s="63" t="s">
        <v>96</v>
      </c>
      <c r="C8" s="64" t="s">
        <v>5</v>
      </c>
      <c r="D8" s="65">
        <v>1</v>
      </c>
      <c r="E8" s="66">
        <v>1</v>
      </c>
      <c r="F8" s="67" t="s">
        <v>92</v>
      </c>
      <c r="G8" s="173"/>
      <c r="H8" s="67" t="s">
        <v>92</v>
      </c>
      <c r="I8" s="67" t="s">
        <v>92</v>
      </c>
      <c r="J8" s="67" t="s">
        <v>92</v>
      </c>
      <c r="K8" s="78" t="s">
        <v>92</v>
      </c>
    </row>
    <row r="9" spans="1:11" ht="22.5">
      <c r="A9" s="77" t="s">
        <v>17</v>
      </c>
      <c r="B9" s="69" t="s">
        <v>97</v>
      </c>
      <c r="C9" s="70" t="s">
        <v>91</v>
      </c>
      <c r="D9" s="71">
        <v>1</v>
      </c>
      <c r="E9" s="72">
        <v>1</v>
      </c>
      <c r="F9" s="73" t="s">
        <v>92</v>
      </c>
      <c r="G9" s="174"/>
      <c r="H9" s="73" t="s">
        <v>92</v>
      </c>
      <c r="I9" s="73" t="s">
        <v>92</v>
      </c>
      <c r="J9" s="73" t="s">
        <v>92</v>
      </c>
      <c r="K9" s="79" t="s">
        <v>92</v>
      </c>
    </row>
    <row r="10" spans="1:11">
      <c r="A10" s="186" t="s">
        <v>98</v>
      </c>
      <c r="B10" s="187"/>
      <c r="C10" s="187"/>
      <c r="D10" s="187"/>
      <c r="E10" s="187"/>
      <c r="F10" s="187"/>
      <c r="G10" s="187"/>
      <c r="H10" s="187"/>
      <c r="I10" s="187"/>
      <c r="J10" s="187"/>
      <c r="K10" s="188"/>
    </row>
    <row r="11" spans="1:11" ht="22.5">
      <c r="A11" s="77" t="s">
        <v>19</v>
      </c>
      <c r="B11" s="69" t="s">
        <v>99</v>
      </c>
      <c r="C11" s="70" t="s">
        <v>11</v>
      </c>
      <c r="D11" s="71">
        <v>2</v>
      </c>
      <c r="E11" s="72">
        <v>2</v>
      </c>
      <c r="F11" s="73" t="s">
        <v>92</v>
      </c>
      <c r="G11" s="172" t="s">
        <v>92</v>
      </c>
      <c r="H11" s="73" t="s">
        <v>92</v>
      </c>
      <c r="I11" s="73" t="s">
        <v>92</v>
      </c>
      <c r="J11" s="73" t="s">
        <v>92</v>
      </c>
      <c r="K11" s="79" t="s">
        <v>92</v>
      </c>
    </row>
    <row r="12" spans="1:11" ht="22.5">
      <c r="A12" s="77" t="s">
        <v>24</v>
      </c>
      <c r="B12" s="63" t="s">
        <v>100</v>
      </c>
      <c r="C12" s="64" t="s">
        <v>11</v>
      </c>
      <c r="D12" s="65">
        <v>2</v>
      </c>
      <c r="E12" s="66">
        <v>2</v>
      </c>
      <c r="F12" s="67" t="s">
        <v>92</v>
      </c>
      <c r="G12" s="173"/>
      <c r="H12" s="67" t="s">
        <v>92</v>
      </c>
      <c r="I12" s="67" t="s">
        <v>92</v>
      </c>
      <c r="J12" s="67" t="s">
        <v>92</v>
      </c>
      <c r="K12" s="78" t="s">
        <v>92</v>
      </c>
    </row>
    <row r="13" spans="1:11" ht="22.5">
      <c r="A13" s="77" t="s">
        <v>26</v>
      </c>
      <c r="B13" s="69" t="s">
        <v>101</v>
      </c>
      <c r="C13" s="70" t="s">
        <v>5</v>
      </c>
      <c r="D13" s="71">
        <v>2</v>
      </c>
      <c r="E13" s="72">
        <v>2</v>
      </c>
      <c r="F13" s="73" t="s">
        <v>92</v>
      </c>
      <c r="G13" s="173"/>
      <c r="H13" s="73" t="s">
        <v>92</v>
      </c>
      <c r="I13" s="73" t="s">
        <v>92</v>
      </c>
      <c r="J13" s="73" t="s">
        <v>92</v>
      </c>
      <c r="K13" s="79" t="s">
        <v>92</v>
      </c>
    </row>
    <row r="14" spans="1:11" ht="22.5">
      <c r="A14" s="77" t="s">
        <v>30</v>
      </c>
      <c r="B14" s="63" t="s">
        <v>102</v>
      </c>
      <c r="C14" s="64" t="s">
        <v>5</v>
      </c>
      <c r="D14" s="65">
        <v>2</v>
      </c>
      <c r="E14" s="66">
        <v>2</v>
      </c>
      <c r="F14" s="67" t="s">
        <v>92</v>
      </c>
      <c r="G14" s="173"/>
      <c r="H14" s="67" t="s">
        <v>92</v>
      </c>
      <c r="I14" s="67" t="s">
        <v>92</v>
      </c>
      <c r="J14" s="67" t="s">
        <v>92</v>
      </c>
      <c r="K14" s="78" t="s">
        <v>92</v>
      </c>
    </row>
    <row r="15" spans="1:11" ht="22.5">
      <c r="A15" s="77" t="s">
        <v>32</v>
      </c>
      <c r="B15" s="69" t="s">
        <v>103</v>
      </c>
      <c r="C15" s="70" t="s">
        <v>5</v>
      </c>
      <c r="D15" s="71">
        <v>2</v>
      </c>
      <c r="E15" s="72">
        <v>2</v>
      </c>
      <c r="F15" s="73" t="s">
        <v>92</v>
      </c>
      <c r="G15" s="173"/>
      <c r="H15" s="73" t="s">
        <v>92</v>
      </c>
      <c r="I15" s="73" t="s">
        <v>92</v>
      </c>
      <c r="J15" s="73" t="s">
        <v>92</v>
      </c>
      <c r="K15" s="79" t="s">
        <v>92</v>
      </c>
    </row>
    <row r="16" spans="1:11" ht="22.5">
      <c r="A16" s="77" t="s">
        <v>35</v>
      </c>
      <c r="B16" s="63" t="s">
        <v>104</v>
      </c>
      <c r="C16" s="64" t="s">
        <v>11</v>
      </c>
      <c r="D16" s="65">
        <v>2</v>
      </c>
      <c r="E16" s="66">
        <v>2</v>
      </c>
      <c r="F16" s="67" t="s">
        <v>92</v>
      </c>
      <c r="G16" s="173"/>
      <c r="H16" s="67" t="s">
        <v>92</v>
      </c>
      <c r="I16" s="67" t="s">
        <v>92</v>
      </c>
      <c r="J16" s="67" t="s">
        <v>92</v>
      </c>
      <c r="K16" s="78" t="s">
        <v>92</v>
      </c>
    </row>
    <row r="17" spans="1:11" ht="22.5">
      <c r="A17" s="77" t="s">
        <v>39</v>
      </c>
      <c r="B17" s="69" t="s">
        <v>105</v>
      </c>
      <c r="C17" s="70" t="s">
        <v>5</v>
      </c>
      <c r="D17" s="71">
        <v>2</v>
      </c>
      <c r="E17" s="72">
        <v>2</v>
      </c>
      <c r="F17" s="73" t="s">
        <v>92</v>
      </c>
      <c r="G17" s="174"/>
      <c r="H17" s="73" t="s">
        <v>92</v>
      </c>
      <c r="I17" s="73" t="s">
        <v>92</v>
      </c>
      <c r="J17" s="73" t="s">
        <v>92</v>
      </c>
      <c r="K17" s="79" t="s">
        <v>92</v>
      </c>
    </row>
    <row r="18" spans="1:11">
      <c r="A18" s="189" t="s">
        <v>106</v>
      </c>
      <c r="B18" s="190"/>
      <c r="C18" s="190"/>
      <c r="D18" s="190"/>
      <c r="E18" s="190"/>
      <c r="F18" s="190"/>
      <c r="G18" s="190"/>
      <c r="H18" s="190"/>
      <c r="I18" s="190"/>
      <c r="J18" s="190"/>
      <c r="K18" s="191"/>
    </row>
    <row r="19" spans="1:11" ht="22.5">
      <c r="A19" s="77" t="s">
        <v>43</v>
      </c>
      <c r="B19" s="69" t="s">
        <v>107</v>
      </c>
      <c r="C19" s="70" t="s">
        <v>21</v>
      </c>
      <c r="D19" s="71">
        <v>2</v>
      </c>
      <c r="E19" s="72">
        <v>3</v>
      </c>
      <c r="F19" s="73" t="s">
        <v>92</v>
      </c>
      <c r="G19" s="73" t="s">
        <v>92</v>
      </c>
      <c r="H19" s="175" t="s">
        <v>92</v>
      </c>
      <c r="I19" s="73" t="s">
        <v>92</v>
      </c>
      <c r="J19" s="73" t="s">
        <v>92</v>
      </c>
      <c r="K19" s="79" t="s">
        <v>92</v>
      </c>
    </row>
    <row r="20" spans="1:11" ht="22.5">
      <c r="A20" s="77" t="s">
        <v>47</v>
      </c>
      <c r="B20" s="63" t="s">
        <v>108</v>
      </c>
      <c r="C20" s="64" t="s">
        <v>21</v>
      </c>
      <c r="D20" s="65">
        <v>2</v>
      </c>
      <c r="E20" s="66">
        <v>3</v>
      </c>
      <c r="F20" s="67" t="s">
        <v>92</v>
      </c>
      <c r="G20" s="67" t="s">
        <v>92</v>
      </c>
      <c r="H20" s="176"/>
      <c r="I20" s="67" t="s">
        <v>92</v>
      </c>
      <c r="J20" s="67" t="s">
        <v>92</v>
      </c>
      <c r="K20" s="78" t="s">
        <v>92</v>
      </c>
    </row>
    <row r="21" spans="1:11">
      <c r="A21" s="77" t="s">
        <v>109</v>
      </c>
      <c r="B21" s="69" t="s">
        <v>110</v>
      </c>
      <c r="C21" s="70" t="s">
        <v>21</v>
      </c>
      <c r="D21" s="71">
        <v>2</v>
      </c>
      <c r="E21" s="72">
        <v>3</v>
      </c>
      <c r="F21" s="73" t="s">
        <v>92</v>
      </c>
      <c r="G21" s="73" t="s">
        <v>92</v>
      </c>
      <c r="H21" s="176"/>
      <c r="I21" s="73" t="s">
        <v>92</v>
      </c>
      <c r="J21" s="73" t="s">
        <v>92</v>
      </c>
      <c r="K21" s="79" t="s">
        <v>92</v>
      </c>
    </row>
    <row r="22" spans="1:11" ht="33">
      <c r="A22" s="77" t="s">
        <v>111</v>
      </c>
      <c r="B22" s="63" t="s">
        <v>112</v>
      </c>
      <c r="C22" s="64" t="s">
        <v>21</v>
      </c>
      <c r="D22" s="65">
        <v>2</v>
      </c>
      <c r="E22" s="66">
        <v>3</v>
      </c>
      <c r="F22" s="67" t="s">
        <v>92</v>
      </c>
      <c r="G22" s="67" t="s">
        <v>92</v>
      </c>
      <c r="H22" s="176"/>
      <c r="I22" s="67" t="s">
        <v>92</v>
      </c>
      <c r="J22" s="67" t="s">
        <v>92</v>
      </c>
      <c r="K22" s="78" t="s">
        <v>92</v>
      </c>
    </row>
    <row r="23" spans="1:11" ht="22.5">
      <c r="A23" s="77" t="s">
        <v>113</v>
      </c>
      <c r="B23" s="69" t="s">
        <v>114</v>
      </c>
      <c r="C23" s="70" t="s">
        <v>5</v>
      </c>
      <c r="D23" s="71">
        <v>2</v>
      </c>
      <c r="E23" s="72">
        <v>3</v>
      </c>
      <c r="F23" s="73" t="s">
        <v>92</v>
      </c>
      <c r="G23" s="73" t="s">
        <v>92</v>
      </c>
      <c r="H23" s="176"/>
      <c r="I23" s="73" t="s">
        <v>92</v>
      </c>
      <c r="J23" s="73" t="s">
        <v>92</v>
      </c>
      <c r="K23" s="79" t="s">
        <v>92</v>
      </c>
    </row>
    <row r="24" spans="1:11" ht="22.5">
      <c r="A24" s="77" t="s">
        <v>115</v>
      </c>
      <c r="B24" s="63" t="s">
        <v>116</v>
      </c>
      <c r="C24" s="64" t="s">
        <v>5</v>
      </c>
      <c r="D24" s="65">
        <v>2</v>
      </c>
      <c r="E24" s="66">
        <v>3</v>
      </c>
      <c r="F24" s="67" t="s">
        <v>92</v>
      </c>
      <c r="G24" s="67" t="s">
        <v>92</v>
      </c>
      <c r="H24" s="176"/>
      <c r="I24" s="67" t="s">
        <v>92</v>
      </c>
      <c r="J24" s="67" t="s">
        <v>92</v>
      </c>
      <c r="K24" s="78" t="s">
        <v>92</v>
      </c>
    </row>
    <row r="25" spans="1:11" ht="22.5">
      <c r="A25" s="77" t="s">
        <v>117</v>
      </c>
      <c r="B25" s="69" t="s">
        <v>118</v>
      </c>
      <c r="C25" s="70" t="s">
        <v>5</v>
      </c>
      <c r="D25" s="71">
        <v>3</v>
      </c>
      <c r="E25" s="72">
        <v>4</v>
      </c>
      <c r="F25" s="73" t="s">
        <v>92</v>
      </c>
      <c r="G25" s="73" t="s">
        <v>92</v>
      </c>
      <c r="H25" s="177"/>
      <c r="I25" s="73" t="s">
        <v>92</v>
      </c>
      <c r="J25" s="73" t="s">
        <v>92</v>
      </c>
      <c r="K25" s="79" t="s">
        <v>92</v>
      </c>
    </row>
    <row r="26" spans="1:11">
      <c r="A26" s="192" t="s">
        <v>119</v>
      </c>
      <c r="B26" s="193"/>
      <c r="C26" s="193"/>
      <c r="D26" s="193"/>
      <c r="E26" s="193"/>
      <c r="F26" s="193"/>
      <c r="G26" s="193"/>
      <c r="H26" s="193"/>
      <c r="I26" s="193"/>
      <c r="J26" s="193"/>
      <c r="K26" s="194"/>
    </row>
    <row r="27" spans="1:11" ht="33">
      <c r="A27" s="77" t="s">
        <v>120</v>
      </c>
      <c r="B27" s="69" t="s">
        <v>121</v>
      </c>
      <c r="C27" s="70" t="s">
        <v>21</v>
      </c>
      <c r="D27" s="71">
        <v>2</v>
      </c>
      <c r="E27" s="72">
        <v>3</v>
      </c>
      <c r="F27" s="73" t="s">
        <v>92</v>
      </c>
      <c r="G27" s="73" t="s">
        <v>92</v>
      </c>
      <c r="H27" s="175" t="s">
        <v>92</v>
      </c>
      <c r="I27" s="73" t="s">
        <v>92</v>
      </c>
      <c r="J27" s="73" t="s">
        <v>92</v>
      </c>
      <c r="K27" s="79" t="s">
        <v>92</v>
      </c>
    </row>
    <row r="28" spans="1:11" ht="22.5">
      <c r="A28" s="77" t="s">
        <v>122</v>
      </c>
      <c r="B28" s="63" t="s">
        <v>123</v>
      </c>
      <c r="C28" s="64" t="s">
        <v>21</v>
      </c>
      <c r="D28" s="65">
        <v>2</v>
      </c>
      <c r="E28" s="66">
        <v>3</v>
      </c>
      <c r="F28" s="67" t="s">
        <v>92</v>
      </c>
      <c r="G28" s="67" t="s">
        <v>92</v>
      </c>
      <c r="H28" s="177"/>
      <c r="I28" s="67" t="s">
        <v>92</v>
      </c>
      <c r="J28" s="67" t="s">
        <v>92</v>
      </c>
      <c r="K28" s="78" t="s">
        <v>92</v>
      </c>
    </row>
    <row r="29" spans="1:11">
      <c r="A29" s="77" t="s">
        <v>124</v>
      </c>
      <c r="B29" s="69" t="s">
        <v>125</v>
      </c>
      <c r="C29" s="70" t="s">
        <v>21</v>
      </c>
      <c r="D29" s="71">
        <v>3</v>
      </c>
      <c r="E29" s="72">
        <v>3</v>
      </c>
      <c r="F29" s="73" t="s">
        <v>92</v>
      </c>
      <c r="G29" s="73" t="s">
        <v>92</v>
      </c>
      <c r="H29" s="73" t="s">
        <v>92</v>
      </c>
      <c r="I29" s="75" t="s">
        <v>92</v>
      </c>
      <c r="J29" s="73" t="s">
        <v>92</v>
      </c>
      <c r="K29" s="79" t="s">
        <v>92</v>
      </c>
    </row>
    <row r="30" spans="1:11">
      <c r="A30" s="156" t="s">
        <v>126</v>
      </c>
      <c r="B30" s="157"/>
      <c r="C30" s="157"/>
      <c r="D30" s="157"/>
      <c r="E30" s="157"/>
      <c r="F30" s="157"/>
      <c r="G30" s="157"/>
      <c r="H30" s="157"/>
      <c r="I30" s="157"/>
      <c r="J30" s="157"/>
      <c r="K30" s="158"/>
    </row>
    <row r="31" spans="1:11" ht="22.5">
      <c r="A31" s="77" t="s">
        <v>127</v>
      </c>
      <c r="B31" s="69" t="s">
        <v>128</v>
      </c>
      <c r="C31" s="70" t="s">
        <v>31</v>
      </c>
      <c r="D31" s="71">
        <v>1</v>
      </c>
      <c r="E31" s="72">
        <v>2</v>
      </c>
      <c r="F31" s="73" t="s">
        <v>92</v>
      </c>
      <c r="G31" s="73" t="s">
        <v>92</v>
      </c>
      <c r="H31" s="73" t="s">
        <v>92</v>
      </c>
      <c r="I31" s="154" t="s">
        <v>92</v>
      </c>
      <c r="J31" s="73" t="s">
        <v>92</v>
      </c>
      <c r="K31" s="79" t="s">
        <v>92</v>
      </c>
    </row>
    <row r="32" spans="1:11" ht="22.5">
      <c r="A32" s="77" t="s">
        <v>129</v>
      </c>
      <c r="B32" s="63" t="s">
        <v>130</v>
      </c>
      <c r="C32" s="64" t="s">
        <v>5</v>
      </c>
      <c r="D32" s="65">
        <v>1</v>
      </c>
      <c r="E32" s="66">
        <v>2</v>
      </c>
      <c r="F32" s="67" t="s">
        <v>92</v>
      </c>
      <c r="G32" s="67" t="s">
        <v>92</v>
      </c>
      <c r="H32" s="67" t="s">
        <v>92</v>
      </c>
      <c r="I32" s="178"/>
      <c r="J32" s="67" t="s">
        <v>92</v>
      </c>
      <c r="K32" s="78" t="s">
        <v>92</v>
      </c>
    </row>
    <row r="33" spans="1:11" ht="33">
      <c r="A33" s="77" t="s">
        <v>131</v>
      </c>
      <c r="B33" s="69" t="s">
        <v>132</v>
      </c>
      <c r="C33" s="70" t="s">
        <v>31</v>
      </c>
      <c r="D33" s="71">
        <v>2</v>
      </c>
      <c r="E33" s="72">
        <v>3</v>
      </c>
      <c r="F33" s="73" t="s">
        <v>92</v>
      </c>
      <c r="G33" s="73" t="s">
        <v>92</v>
      </c>
      <c r="H33" s="73" t="s">
        <v>92</v>
      </c>
      <c r="I33" s="178"/>
      <c r="J33" s="73" t="s">
        <v>92</v>
      </c>
      <c r="K33" s="79" t="s">
        <v>92</v>
      </c>
    </row>
    <row r="34" spans="1:11" ht="22.5">
      <c r="A34" s="77" t="s">
        <v>133</v>
      </c>
      <c r="B34" s="63" t="s">
        <v>134</v>
      </c>
      <c r="C34" s="64" t="s">
        <v>31</v>
      </c>
      <c r="D34" s="65">
        <v>2</v>
      </c>
      <c r="E34" s="66">
        <v>3</v>
      </c>
      <c r="F34" s="67" t="s">
        <v>92</v>
      </c>
      <c r="G34" s="67" t="s">
        <v>92</v>
      </c>
      <c r="H34" s="67" t="s">
        <v>92</v>
      </c>
      <c r="I34" s="178"/>
      <c r="J34" s="67" t="s">
        <v>92</v>
      </c>
      <c r="K34" s="78" t="s">
        <v>92</v>
      </c>
    </row>
    <row r="35" spans="1:11" ht="33" customHeight="1">
      <c r="A35" s="77" t="s">
        <v>135</v>
      </c>
      <c r="B35" s="69" t="s">
        <v>136</v>
      </c>
      <c r="C35" s="70" t="s">
        <v>31</v>
      </c>
      <c r="D35" s="71">
        <v>2</v>
      </c>
      <c r="E35" s="72">
        <v>3</v>
      </c>
      <c r="F35" s="73" t="s">
        <v>92</v>
      </c>
      <c r="G35" s="73" t="s">
        <v>92</v>
      </c>
      <c r="H35" s="73" t="s">
        <v>92</v>
      </c>
      <c r="I35" s="178"/>
      <c r="J35" s="73" t="s">
        <v>92</v>
      </c>
      <c r="K35" s="79" t="s">
        <v>92</v>
      </c>
    </row>
    <row r="36" spans="1:11" ht="22.5">
      <c r="A36" s="77" t="s">
        <v>137</v>
      </c>
      <c r="B36" s="63" t="s">
        <v>138</v>
      </c>
      <c r="C36" s="64" t="s">
        <v>31</v>
      </c>
      <c r="D36" s="65">
        <v>3</v>
      </c>
      <c r="E36" s="66">
        <v>3</v>
      </c>
      <c r="F36" s="67" t="s">
        <v>92</v>
      </c>
      <c r="G36" s="67" t="s">
        <v>92</v>
      </c>
      <c r="H36" s="67" t="s">
        <v>92</v>
      </c>
      <c r="I36" s="178"/>
      <c r="J36" s="67" t="s">
        <v>92</v>
      </c>
      <c r="K36" s="78" t="s">
        <v>92</v>
      </c>
    </row>
    <row r="37" spans="1:11">
      <c r="A37" s="77" t="s">
        <v>139</v>
      </c>
      <c r="B37" s="69" t="s">
        <v>140</v>
      </c>
      <c r="C37" s="70" t="s">
        <v>31</v>
      </c>
      <c r="D37" s="71">
        <v>3</v>
      </c>
      <c r="E37" s="72">
        <v>3</v>
      </c>
      <c r="F37" s="73" t="s">
        <v>92</v>
      </c>
      <c r="G37" s="73" t="s">
        <v>92</v>
      </c>
      <c r="H37" s="73" t="s">
        <v>92</v>
      </c>
      <c r="I37" s="155"/>
      <c r="J37" s="73" t="s">
        <v>92</v>
      </c>
      <c r="K37" s="79" t="s">
        <v>92</v>
      </c>
    </row>
    <row r="38" spans="1:11">
      <c r="A38" s="159" t="s">
        <v>141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1"/>
    </row>
    <row r="39" spans="1:11" ht="22.5">
      <c r="A39" s="77" t="s">
        <v>142</v>
      </c>
      <c r="B39" s="69" t="s">
        <v>143</v>
      </c>
      <c r="C39" s="70" t="s">
        <v>31</v>
      </c>
      <c r="D39" s="71">
        <v>2</v>
      </c>
      <c r="E39" s="72">
        <v>3</v>
      </c>
      <c r="F39" s="73" t="s">
        <v>92</v>
      </c>
      <c r="G39" s="73" t="s">
        <v>92</v>
      </c>
      <c r="H39" s="73" t="s">
        <v>92</v>
      </c>
      <c r="I39" s="73" t="s">
        <v>92</v>
      </c>
      <c r="J39" s="145" t="s">
        <v>92</v>
      </c>
      <c r="K39" s="79" t="s">
        <v>92</v>
      </c>
    </row>
    <row r="40" spans="1:11" ht="22.5">
      <c r="A40" s="77" t="s">
        <v>144</v>
      </c>
      <c r="B40" s="63" t="s">
        <v>145</v>
      </c>
      <c r="C40" s="64" t="s">
        <v>31</v>
      </c>
      <c r="D40" s="65">
        <v>2</v>
      </c>
      <c r="E40" s="66">
        <v>3</v>
      </c>
      <c r="F40" s="67" t="s">
        <v>92</v>
      </c>
      <c r="G40" s="67" t="s">
        <v>92</v>
      </c>
      <c r="H40" s="67" t="s">
        <v>92</v>
      </c>
      <c r="I40" s="67" t="s">
        <v>92</v>
      </c>
      <c r="J40" s="146"/>
      <c r="K40" s="78" t="s">
        <v>92</v>
      </c>
    </row>
    <row r="41" spans="1:11" ht="33" customHeight="1">
      <c r="A41" s="77" t="s">
        <v>146</v>
      </c>
      <c r="B41" s="69" t="s">
        <v>147</v>
      </c>
      <c r="C41" s="70" t="s">
        <v>5</v>
      </c>
      <c r="D41" s="71">
        <v>2</v>
      </c>
      <c r="E41" s="72">
        <v>3</v>
      </c>
      <c r="F41" s="73" t="s">
        <v>92</v>
      </c>
      <c r="G41" s="73" t="s">
        <v>92</v>
      </c>
      <c r="H41" s="73" t="s">
        <v>92</v>
      </c>
      <c r="I41" s="73" t="s">
        <v>92</v>
      </c>
      <c r="J41" s="146"/>
      <c r="K41" s="79" t="s">
        <v>92</v>
      </c>
    </row>
    <row r="42" spans="1:11" ht="22.5">
      <c r="A42" s="77" t="s">
        <v>148</v>
      </c>
      <c r="B42" s="63" t="s">
        <v>149</v>
      </c>
      <c r="C42" s="64" t="s">
        <v>31</v>
      </c>
      <c r="D42" s="65">
        <v>2</v>
      </c>
      <c r="E42" s="66">
        <v>3</v>
      </c>
      <c r="F42" s="67" t="s">
        <v>92</v>
      </c>
      <c r="G42" s="67" t="s">
        <v>92</v>
      </c>
      <c r="H42" s="67" t="s">
        <v>92</v>
      </c>
      <c r="I42" s="67" t="s">
        <v>92</v>
      </c>
      <c r="J42" s="146"/>
      <c r="K42" s="78" t="s">
        <v>92</v>
      </c>
    </row>
    <row r="43" spans="1:11" ht="22.5">
      <c r="A43" s="77" t="s">
        <v>150</v>
      </c>
      <c r="B43" s="69" t="s">
        <v>151</v>
      </c>
      <c r="C43" s="70" t="s">
        <v>31</v>
      </c>
      <c r="D43" s="71">
        <v>3</v>
      </c>
      <c r="E43" s="72">
        <v>4</v>
      </c>
      <c r="F43" s="73" t="s">
        <v>92</v>
      </c>
      <c r="G43" s="73" t="s">
        <v>92</v>
      </c>
      <c r="H43" s="73" t="s">
        <v>92</v>
      </c>
      <c r="I43" s="73" t="s">
        <v>92</v>
      </c>
      <c r="J43" s="146"/>
      <c r="K43" s="79" t="s">
        <v>92</v>
      </c>
    </row>
    <row r="44" spans="1:11" ht="22.5">
      <c r="A44" s="77" t="s">
        <v>152</v>
      </c>
      <c r="B44" s="63" t="s">
        <v>153</v>
      </c>
      <c r="C44" s="64" t="s">
        <v>5</v>
      </c>
      <c r="D44" s="65">
        <v>3</v>
      </c>
      <c r="E44" s="66">
        <v>4</v>
      </c>
      <c r="F44" s="67" t="s">
        <v>92</v>
      </c>
      <c r="G44" s="67" t="s">
        <v>92</v>
      </c>
      <c r="H44" s="67" t="s">
        <v>92</v>
      </c>
      <c r="I44" s="67" t="s">
        <v>92</v>
      </c>
      <c r="J44" s="147"/>
      <c r="K44" s="78" t="s">
        <v>92</v>
      </c>
    </row>
    <row r="45" spans="1:11">
      <c r="A45" s="162" t="s">
        <v>154</v>
      </c>
      <c r="B45" s="163"/>
      <c r="C45" s="163"/>
      <c r="D45" s="163"/>
      <c r="E45" s="163"/>
      <c r="F45" s="163"/>
      <c r="G45" s="163"/>
      <c r="H45" s="163"/>
      <c r="I45" s="163"/>
      <c r="J45" s="163"/>
      <c r="K45" s="164"/>
    </row>
    <row r="46" spans="1:11" ht="22.5">
      <c r="A46" s="77" t="s">
        <v>155</v>
      </c>
      <c r="B46" s="63" t="s">
        <v>156</v>
      </c>
      <c r="C46" s="64" t="s">
        <v>49</v>
      </c>
      <c r="D46" s="65">
        <v>2</v>
      </c>
      <c r="E46" s="66">
        <v>3</v>
      </c>
      <c r="F46" s="67" t="s">
        <v>92</v>
      </c>
      <c r="G46" s="67" t="s">
        <v>92</v>
      </c>
      <c r="H46" s="67" t="s">
        <v>92</v>
      </c>
      <c r="I46" s="67" t="s">
        <v>92</v>
      </c>
      <c r="J46" s="67" t="s">
        <v>92</v>
      </c>
      <c r="K46" s="148" t="s">
        <v>92</v>
      </c>
    </row>
    <row r="47" spans="1:11" ht="22.5">
      <c r="A47" s="77" t="s">
        <v>157</v>
      </c>
      <c r="B47" s="69" t="s">
        <v>158</v>
      </c>
      <c r="C47" s="70" t="s">
        <v>49</v>
      </c>
      <c r="D47" s="71">
        <v>2</v>
      </c>
      <c r="E47" s="72">
        <v>3</v>
      </c>
      <c r="F47" s="73" t="s">
        <v>92</v>
      </c>
      <c r="G47" s="73" t="s">
        <v>92</v>
      </c>
      <c r="H47" s="73" t="s">
        <v>92</v>
      </c>
      <c r="I47" s="73" t="s">
        <v>92</v>
      </c>
      <c r="J47" s="73" t="s">
        <v>92</v>
      </c>
      <c r="K47" s="149"/>
    </row>
    <row r="48" spans="1:11" ht="22.5">
      <c r="A48" s="77" t="s">
        <v>159</v>
      </c>
      <c r="B48" s="63" t="s">
        <v>160</v>
      </c>
      <c r="C48" s="64" t="s">
        <v>49</v>
      </c>
      <c r="D48" s="65">
        <v>2</v>
      </c>
      <c r="E48" s="66">
        <v>3</v>
      </c>
      <c r="F48" s="67" t="s">
        <v>92</v>
      </c>
      <c r="G48" s="67" t="s">
        <v>92</v>
      </c>
      <c r="H48" s="67" t="s">
        <v>92</v>
      </c>
      <c r="I48" s="67" t="s">
        <v>92</v>
      </c>
      <c r="J48" s="67" t="s">
        <v>92</v>
      </c>
      <c r="K48" s="149"/>
    </row>
    <row r="49" spans="1:11" ht="33">
      <c r="A49" s="77" t="s">
        <v>161</v>
      </c>
      <c r="B49" s="69" t="s">
        <v>162</v>
      </c>
      <c r="C49" s="70" t="s">
        <v>11</v>
      </c>
      <c r="D49" s="71">
        <v>3</v>
      </c>
      <c r="E49" s="72">
        <v>4</v>
      </c>
      <c r="F49" s="73" t="s">
        <v>92</v>
      </c>
      <c r="G49" s="73" t="s">
        <v>92</v>
      </c>
      <c r="H49" s="73" t="s">
        <v>92</v>
      </c>
      <c r="I49" s="73" t="s">
        <v>92</v>
      </c>
      <c r="J49" s="73" t="s">
        <v>92</v>
      </c>
      <c r="K49" s="149"/>
    </row>
    <row r="50" spans="1:11" ht="22.5">
      <c r="A50" s="77" t="s">
        <v>163</v>
      </c>
      <c r="B50" s="63" t="s">
        <v>164</v>
      </c>
      <c r="C50" s="64" t="s">
        <v>5</v>
      </c>
      <c r="D50" s="65">
        <v>3</v>
      </c>
      <c r="E50" s="66">
        <v>4</v>
      </c>
      <c r="F50" s="67" t="s">
        <v>92</v>
      </c>
      <c r="G50" s="67" t="s">
        <v>92</v>
      </c>
      <c r="H50" s="67" t="s">
        <v>92</v>
      </c>
      <c r="I50" s="67" t="s">
        <v>92</v>
      </c>
      <c r="J50" s="67" t="s">
        <v>92</v>
      </c>
      <c r="K50" s="149"/>
    </row>
    <row r="51" spans="1:11" ht="22.5">
      <c r="A51" s="77" t="s">
        <v>165</v>
      </c>
      <c r="B51" s="69" t="s">
        <v>166</v>
      </c>
      <c r="C51" s="70" t="s">
        <v>5</v>
      </c>
      <c r="D51" s="71">
        <v>3</v>
      </c>
      <c r="E51" s="72">
        <v>4</v>
      </c>
      <c r="F51" s="73" t="s">
        <v>92</v>
      </c>
      <c r="G51" s="73" t="s">
        <v>92</v>
      </c>
      <c r="H51" s="73" t="s">
        <v>92</v>
      </c>
      <c r="I51" s="73" t="s">
        <v>92</v>
      </c>
      <c r="J51" s="73" t="s">
        <v>92</v>
      </c>
      <c r="K51" s="149"/>
    </row>
    <row r="52" spans="1:11" ht="22.5">
      <c r="A52" s="77" t="s">
        <v>167</v>
      </c>
      <c r="B52" s="63" t="s">
        <v>168</v>
      </c>
      <c r="C52" s="64" t="s">
        <v>5</v>
      </c>
      <c r="D52" s="65">
        <v>4</v>
      </c>
      <c r="E52" s="66">
        <v>5</v>
      </c>
      <c r="F52" s="67" t="s">
        <v>92</v>
      </c>
      <c r="G52" s="67" t="s">
        <v>92</v>
      </c>
      <c r="H52" s="67" t="s">
        <v>92</v>
      </c>
      <c r="I52" s="67" t="s">
        <v>92</v>
      </c>
      <c r="J52" s="67" t="s">
        <v>92</v>
      </c>
      <c r="K52" s="150"/>
    </row>
    <row r="53" spans="1:11">
      <c r="A53" s="165" t="s">
        <v>169</v>
      </c>
      <c r="B53" s="166"/>
      <c r="C53" s="166"/>
      <c r="D53" s="166"/>
      <c r="E53" s="166"/>
      <c r="F53" s="166"/>
      <c r="G53" s="166"/>
      <c r="H53" s="166"/>
      <c r="I53" s="166"/>
      <c r="J53" s="166"/>
      <c r="K53" s="167"/>
    </row>
    <row r="54" spans="1:11" ht="33">
      <c r="A54" s="77" t="s">
        <v>170</v>
      </c>
      <c r="B54" s="63" t="s">
        <v>171</v>
      </c>
      <c r="C54" s="64" t="s">
        <v>5</v>
      </c>
      <c r="D54" s="65">
        <v>1</v>
      </c>
      <c r="E54" s="66">
        <v>1</v>
      </c>
      <c r="F54" s="151" t="s">
        <v>92</v>
      </c>
      <c r="G54" s="67" t="s">
        <v>92</v>
      </c>
      <c r="H54" s="67" t="s">
        <v>92</v>
      </c>
      <c r="I54" s="67" t="s">
        <v>92</v>
      </c>
      <c r="J54" s="67" t="s">
        <v>92</v>
      </c>
      <c r="K54" s="78" t="s">
        <v>92</v>
      </c>
    </row>
    <row r="55" spans="1:11" ht="22.5">
      <c r="A55" s="77" t="s">
        <v>172</v>
      </c>
      <c r="B55" s="69" t="s">
        <v>173</v>
      </c>
      <c r="C55" s="70" t="s">
        <v>5</v>
      </c>
      <c r="D55" s="71">
        <v>1</v>
      </c>
      <c r="E55" s="72">
        <v>1</v>
      </c>
      <c r="F55" s="152"/>
      <c r="G55" s="73" t="s">
        <v>92</v>
      </c>
      <c r="H55" s="73" t="s">
        <v>92</v>
      </c>
      <c r="I55" s="73" t="s">
        <v>92</v>
      </c>
      <c r="J55" s="73" t="s">
        <v>92</v>
      </c>
      <c r="K55" s="79" t="s">
        <v>92</v>
      </c>
    </row>
    <row r="56" spans="1:11" ht="33" customHeight="1">
      <c r="A56" s="77" t="s">
        <v>174</v>
      </c>
      <c r="B56" s="63" t="s">
        <v>175</v>
      </c>
      <c r="C56" s="64" t="s">
        <v>5</v>
      </c>
      <c r="D56" s="65">
        <v>1</v>
      </c>
      <c r="E56" s="66">
        <v>1</v>
      </c>
      <c r="F56" s="152"/>
      <c r="G56" s="67" t="s">
        <v>92</v>
      </c>
      <c r="H56" s="67" t="s">
        <v>92</v>
      </c>
      <c r="I56" s="67" t="s">
        <v>92</v>
      </c>
      <c r="J56" s="67" t="s">
        <v>92</v>
      </c>
      <c r="K56" s="78" t="s">
        <v>92</v>
      </c>
    </row>
    <row r="57" spans="1:11" ht="22.5">
      <c r="A57" s="77" t="s">
        <v>176</v>
      </c>
      <c r="B57" s="69" t="s">
        <v>177</v>
      </c>
      <c r="C57" s="70" t="s">
        <v>5</v>
      </c>
      <c r="D57" s="71">
        <v>1</v>
      </c>
      <c r="E57" s="72">
        <v>1</v>
      </c>
      <c r="F57" s="153"/>
      <c r="G57" s="73" t="s">
        <v>92</v>
      </c>
      <c r="H57" s="73" t="s">
        <v>92</v>
      </c>
      <c r="I57" s="73" t="s">
        <v>92</v>
      </c>
      <c r="J57" s="73" t="s">
        <v>92</v>
      </c>
      <c r="K57" s="79" t="s">
        <v>92</v>
      </c>
    </row>
    <row r="58" spans="1:11" ht="22.5">
      <c r="A58" s="77" t="s">
        <v>178</v>
      </c>
      <c r="B58" s="63" t="s">
        <v>179</v>
      </c>
      <c r="C58" s="64" t="s">
        <v>5</v>
      </c>
      <c r="D58" s="65">
        <v>2</v>
      </c>
      <c r="E58" s="66">
        <v>2</v>
      </c>
      <c r="F58" s="67" t="s">
        <v>92</v>
      </c>
      <c r="G58" s="68" t="s">
        <v>92</v>
      </c>
      <c r="H58" s="67" t="s">
        <v>92</v>
      </c>
      <c r="I58" s="67" t="s">
        <v>92</v>
      </c>
      <c r="J58" s="67" t="s">
        <v>92</v>
      </c>
      <c r="K58" s="78" t="s">
        <v>92</v>
      </c>
    </row>
    <row r="59" spans="1:11" ht="22.5">
      <c r="A59" s="77" t="s">
        <v>180</v>
      </c>
      <c r="B59" s="69" t="s">
        <v>181</v>
      </c>
      <c r="C59" s="70" t="s">
        <v>5</v>
      </c>
      <c r="D59" s="71">
        <v>2</v>
      </c>
      <c r="E59" s="72">
        <v>2</v>
      </c>
      <c r="F59" s="73" t="s">
        <v>92</v>
      </c>
      <c r="G59" s="73" t="s">
        <v>92</v>
      </c>
      <c r="H59" s="73" t="s">
        <v>92</v>
      </c>
      <c r="I59" s="154" t="s">
        <v>92</v>
      </c>
      <c r="J59" s="73" t="s">
        <v>92</v>
      </c>
      <c r="K59" s="79" t="s">
        <v>92</v>
      </c>
    </row>
    <row r="60" spans="1:11" ht="22.5">
      <c r="A60" s="77" t="s">
        <v>182</v>
      </c>
      <c r="B60" s="63" t="s">
        <v>183</v>
      </c>
      <c r="C60" s="64" t="s">
        <v>49</v>
      </c>
      <c r="D60" s="65">
        <v>3</v>
      </c>
      <c r="E60" s="66">
        <v>3</v>
      </c>
      <c r="F60" s="67" t="s">
        <v>92</v>
      </c>
      <c r="G60" s="67" t="s">
        <v>92</v>
      </c>
      <c r="H60" s="67" t="s">
        <v>92</v>
      </c>
      <c r="I60" s="155"/>
      <c r="J60" s="67" t="s">
        <v>92</v>
      </c>
      <c r="K60" s="78" t="s">
        <v>92</v>
      </c>
    </row>
    <row r="61" spans="1:11" ht="22.5">
      <c r="A61" s="77" t="s">
        <v>184</v>
      </c>
      <c r="B61" s="69" t="s">
        <v>185</v>
      </c>
      <c r="C61" s="70" t="s">
        <v>5</v>
      </c>
      <c r="D61" s="71">
        <v>2</v>
      </c>
      <c r="E61" s="72">
        <v>2</v>
      </c>
      <c r="F61" s="73" t="s">
        <v>92</v>
      </c>
      <c r="G61" s="68" t="s">
        <v>92</v>
      </c>
      <c r="H61" s="73" t="s">
        <v>92</v>
      </c>
      <c r="I61" s="73" t="s">
        <v>92</v>
      </c>
      <c r="J61" s="73" t="s">
        <v>92</v>
      </c>
      <c r="K61" s="79" t="s">
        <v>92</v>
      </c>
    </row>
    <row r="62" spans="1:11" ht="22.5">
      <c r="A62" s="77" t="s">
        <v>186</v>
      </c>
      <c r="B62" s="63" t="s">
        <v>187</v>
      </c>
      <c r="C62" s="64" t="s">
        <v>5</v>
      </c>
      <c r="D62" s="65">
        <v>2</v>
      </c>
      <c r="E62" s="66">
        <v>2</v>
      </c>
      <c r="F62" s="67" t="s">
        <v>92</v>
      </c>
      <c r="G62" s="67" t="s">
        <v>92</v>
      </c>
      <c r="H62" s="74" t="s">
        <v>92</v>
      </c>
      <c r="I62" s="67" t="s">
        <v>92</v>
      </c>
      <c r="J62" s="67" t="s">
        <v>92</v>
      </c>
      <c r="K62" s="78" t="s">
        <v>92</v>
      </c>
    </row>
    <row r="63" spans="1:11" ht="22.5">
      <c r="A63" s="77" t="s">
        <v>188</v>
      </c>
      <c r="B63" s="69" t="s">
        <v>189</v>
      </c>
      <c r="C63" s="70" t="s">
        <v>5</v>
      </c>
      <c r="D63" s="71">
        <v>3</v>
      </c>
      <c r="E63" s="72">
        <v>3</v>
      </c>
      <c r="F63" s="73" t="s">
        <v>92</v>
      </c>
      <c r="G63" s="73" t="s">
        <v>92</v>
      </c>
      <c r="H63" s="73" t="s">
        <v>92</v>
      </c>
      <c r="I63" s="73" t="s">
        <v>92</v>
      </c>
      <c r="J63" s="145" t="s">
        <v>92</v>
      </c>
      <c r="K63" s="79" t="s">
        <v>92</v>
      </c>
    </row>
    <row r="64" spans="1:11" ht="22.5">
      <c r="A64" s="77" t="s">
        <v>190</v>
      </c>
      <c r="B64" s="63" t="s">
        <v>191</v>
      </c>
      <c r="C64" s="64" t="s">
        <v>5</v>
      </c>
      <c r="D64" s="65">
        <v>3</v>
      </c>
      <c r="E64" s="66">
        <v>3</v>
      </c>
      <c r="F64" s="67" t="s">
        <v>92</v>
      </c>
      <c r="G64" s="67" t="s">
        <v>92</v>
      </c>
      <c r="H64" s="67" t="s">
        <v>92</v>
      </c>
      <c r="I64" s="67" t="s">
        <v>92</v>
      </c>
      <c r="J64" s="147"/>
      <c r="K64" s="78" t="s">
        <v>92</v>
      </c>
    </row>
    <row r="65" spans="1:11" ht="22.5">
      <c r="A65" s="77" t="s">
        <v>192</v>
      </c>
      <c r="B65" s="69" t="s">
        <v>193</v>
      </c>
      <c r="C65" s="70" t="s">
        <v>5</v>
      </c>
      <c r="D65" s="71">
        <v>3</v>
      </c>
      <c r="E65" s="72">
        <v>4</v>
      </c>
      <c r="F65" s="73" t="s">
        <v>92</v>
      </c>
      <c r="G65" s="73" t="s">
        <v>92</v>
      </c>
      <c r="H65" s="73" t="s">
        <v>92</v>
      </c>
      <c r="I65" s="73" t="s">
        <v>92</v>
      </c>
      <c r="J65" s="73" t="s">
        <v>92</v>
      </c>
      <c r="K65" s="148" t="s">
        <v>92</v>
      </c>
    </row>
    <row r="66" spans="1:11" ht="22.5">
      <c r="A66" s="77" t="s">
        <v>194</v>
      </c>
      <c r="B66" s="63" t="s">
        <v>195</v>
      </c>
      <c r="C66" s="64" t="s">
        <v>5</v>
      </c>
      <c r="D66" s="65">
        <v>4</v>
      </c>
      <c r="E66" s="66">
        <v>5</v>
      </c>
      <c r="F66" s="67" t="s">
        <v>92</v>
      </c>
      <c r="G66" s="67" t="s">
        <v>92</v>
      </c>
      <c r="H66" s="67" t="s">
        <v>92</v>
      </c>
      <c r="I66" s="67" t="s">
        <v>92</v>
      </c>
      <c r="J66" s="67" t="s">
        <v>92</v>
      </c>
      <c r="K66" s="149"/>
    </row>
    <row r="67" spans="1:11" ht="22.5">
      <c r="A67" s="77" t="s">
        <v>196</v>
      </c>
      <c r="B67" s="69" t="s">
        <v>197</v>
      </c>
      <c r="C67" s="70" t="s">
        <v>5</v>
      </c>
      <c r="D67" s="71">
        <v>4</v>
      </c>
      <c r="E67" s="72">
        <v>5</v>
      </c>
      <c r="F67" s="73" t="s">
        <v>92</v>
      </c>
      <c r="G67" s="73" t="s">
        <v>92</v>
      </c>
      <c r="H67" s="73" t="s">
        <v>92</v>
      </c>
      <c r="I67" s="73" t="s">
        <v>92</v>
      </c>
      <c r="J67" s="73" t="s">
        <v>92</v>
      </c>
      <c r="K67" s="150"/>
    </row>
    <row r="68" spans="1:11" ht="22.5">
      <c r="A68" s="77" t="s">
        <v>198</v>
      </c>
      <c r="B68" s="63" t="s">
        <v>199</v>
      </c>
      <c r="C68" s="64" t="s">
        <v>5</v>
      </c>
      <c r="D68" s="65">
        <v>1</v>
      </c>
      <c r="E68" s="66">
        <v>1</v>
      </c>
      <c r="F68" s="76" t="s">
        <v>92</v>
      </c>
      <c r="G68" s="67" t="s">
        <v>92</v>
      </c>
      <c r="H68" s="67" t="s">
        <v>92</v>
      </c>
      <c r="I68" s="67" t="s">
        <v>92</v>
      </c>
      <c r="J68" s="67" t="s">
        <v>92</v>
      </c>
      <c r="K68" s="78" t="s">
        <v>92</v>
      </c>
    </row>
    <row r="69" spans="1:11">
      <c r="A69" s="168" t="s">
        <v>200</v>
      </c>
      <c r="B69" s="169"/>
      <c r="C69" s="169"/>
      <c r="D69" s="169"/>
      <c r="E69" s="169"/>
      <c r="F69" s="169"/>
      <c r="G69" s="169"/>
      <c r="H69" s="169"/>
      <c r="I69" s="170"/>
      <c r="J69" s="170"/>
      <c r="K69" s="171"/>
    </row>
    <row r="70" spans="1:11" ht="51">
      <c r="A70" s="99" t="s">
        <v>201</v>
      </c>
      <c r="B70" s="100" t="s">
        <v>202</v>
      </c>
      <c r="C70" s="101" t="s">
        <v>88</v>
      </c>
      <c r="D70" s="102" t="s">
        <v>6</v>
      </c>
      <c r="E70" s="103" t="s">
        <v>12</v>
      </c>
      <c r="F70" s="104" t="s">
        <v>22</v>
      </c>
      <c r="G70" s="105" t="s">
        <v>23</v>
      </c>
      <c r="H70" s="106" t="s">
        <v>28</v>
      </c>
      <c r="I70" s="35"/>
      <c r="J70" s="35"/>
      <c r="K70" s="35"/>
    </row>
  </sheetData>
  <mergeCells count="22">
    <mergeCell ref="A1:E1"/>
    <mergeCell ref="F1:K1"/>
    <mergeCell ref="A3:K3"/>
    <mergeCell ref="A10:K10"/>
    <mergeCell ref="A18:K18"/>
    <mergeCell ref="A69:K69"/>
    <mergeCell ref="G4:G9"/>
    <mergeCell ref="G11:G17"/>
    <mergeCell ref="H19:H25"/>
    <mergeCell ref="H27:H28"/>
    <mergeCell ref="I31:I37"/>
    <mergeCell ref="A26:K26"/>
    <mergeCell ref="K65:K67"/>
    <mergeCell ref="A30:K30"/>
    <mergeCell ref="A38:K38"/>
    <mergeCell ref="A45:K45"/>
    <mergeCell ref="A53:K53"/>
    <mergeCell ref="J39:J44"/>
    <mergeCell ref="K46:K52"/>
    <mergeCell ref="F54:F57"/>
    <mergeCell ref="I59:I60"/>
    <mergeCell ref="J63:J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21A9-64BE-4CDA-914D-9D97F2B04E8C}">
  <dimension ref="A1:R74"/>
  <sheetViews>
    <sheetView workbookViewId="0">
      <pane xSplit="2" ySplit="4" topLeftCell="C5" activePane="bottomRight" state="frozen"/>
      <selection pane="bottomRight" activeCell="B4" sqref="B4"/>
      <selection pane="bottomLeft"/>
      <selection pane="topRight"/>
    </sheetView>
  </sheetViews>
  <sheetFormatPr defaultRowHeight="15"/>
  <cols>
    <col min="1" max="1" width="4.7109375" bestFit="1" customWidth="1"/>
    <col min="2" max="2" width="69.7109375" bestFit="1" customWidth="1"/>
    <col min="3" max="3" width="12.28515625" customWidth="1"/>
  </cols>
  <sheetData>
    <row r="1" spans="1:18" ht="16.5">
      <c r="A1" s="239" t="s">
        <v>203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1"/>
    </row>
    <row r="2" spans="1:18" ht="29.25" customHeight="1">
      <c r="A2" s="242" t="s">
        <v>204</v>
      </c>
      <c r="B2" s="243"/>
      <c r="C2" s="243"/>
      <c r="D2" s="243"/>
      <c r="E2" s="243"/>
      <c r="F2" s="243"/>
      <c r="G2" s="243" t="s">
        <v>205</v>
      </c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4"/>
    </row>
    <row r="3" spans="1:18">
      <c r="A3" s="205" t="s">
        <v>92</v>
      </c>
      <c r="B3" s="206"/>
      <c r="C3" s="206"/>
      <c r="D3" s="206"/>
      <c r="E3" s="206"/>
      <c r="F3" s="207"/>
      <c r="G3" s="245" t="s">
        <v>88</v>
      </c>
      <c r="H3" s="245"/>
      <c r="I3" s="246" t="s">
        <v>6</v>
      </c>
      <c r="J3" s="246"/>
      <c r="K3" s="247" t="s">
        <v>12</v>
      </c>
      <c r="L3" s="247"/>
      <c r="M3" s="248" t="s">
        <v>22</v>
      </c>
      <c r="N3" s="248"/>
      <c r="O3" s="249" t="s">
        <v>23</v>
      </c>
      <c r="P3" s="249"/>
      <c r="Q3" s="250" t="s">
        <v>28</v>
      </c>
      <c r="R3" s="251"/>
    </row>
    <row r="4" spans="1:18" s="4" customFormat="1" ht="24">
      <c r="A4" s="83" t="s">
        <v>206</v>
      </c>
      <c r="B4" s="80" t="s">
        <v>207</v>
      </c>
      <c r="C4" s="82" t="s">
        <v>208</v>
      </c>
      <c r="D4" s="82" t="s">
        <v>209</v>
      </c>
      <c r="E4" s="81" t="s">
        <v>210</v>
      </c>
      <c r="F4" s="82" t="s">
        <v>211</v>
      </c>
      <c r="G4" s="84" t="s">
        <v>212</v>
      </c>
      <c r="H4" s="84" t="s">
        <v>213</v>
      </c>
      <c r="I4" s="85" t="s">
        <v>214</v>
      </c>
      <c r="J4" s="85" t="s">
        <v>215</v>
      </c>
      <c r="K4" s="86" t="s">
        <v>216</v>
      </c>
      <c r="L4" s="86" t="s">
        <v>217</v>
      </c>
      <c r="M4" s="87" t="s">
        <v>218</v>
      </c>
      <c r="N4" s="87" t="s">
        <v>219</v>
      </c>
      <c r="O4" s="88" t="s">
        <v>220</v>
      </c>
      <c r="P4" s="88" t="s">
        <v>221</v>
      </c>
      <c r="Q4" s="89" t="s">
        <v>222</v>
      </c>
      <c r="R4" s="90" t="s">
        <v>223</v>
      </c>
    </row>
    <row r="5" spans="1:18">
      <c r="A5" s="221" t="s">
        <v>224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3"/>
    </row>
    <row r="6" spans="1:18">
      <c r="A6" s="54" t="s">
        <v>225</v>
      </c>
      <c r="B6" s="36" t="s">
        <v>226</v>
      </c>
      <c r="C6" s="107" t="s">
        <v>227</v>
      </c>
      <c r="D6" s="108" t="s">
        <v>88</v>
      </c>
      <c r="E6" s="109">
        <v>1</v>
      </c>
      <c r="F6" s="109">
        <v>2</v>
      </c>
      <c r="G6" s="37" t="s">
        <v>228</v>
      </c>
      <c r="H6" s="38" t="s">
        <v>92</v>
      </c>
      <c r="I6" s="39" t="s">
        <v>92</v>
      </c>
      <c r="J6" s="39" t="s">
        <v>92</v>
      </c>
      <c r="K6" s="39" t="s">
        <v>92</v>
      </c>
      <c r="L6" s="39" t="s">
        <v>92</v>
      </c>
      <c r="M6" s="39" t="s">
        <v>92</v>
      </c>
      <c r="N6" s="39" t="s">
        <v>92</v>
      </c>
      <c r="O6" s="39" t="s">
        <v>92</v>
      </c>
      <c r="P6" s="39" t="s">
        <v>92</v>
      </c>
      <c r="Q6" s="39" t="s">
        <v>92</v>
      </c>
      <c r="R6" s="55" t="s">
        <v>92</v>
      </c>
    </row>
    <row r="7" spans="1:18">
      <c r="A7" s="54" t="s">
        <v>229</v>
      </c>
      <c r="B7" s="40" t="s">
        <v>230</v>
      </c>
      <c r="C7" s="110" t="s">
        <v>227</v>
      </c>
      <c r="D7" s="108" t="s">
        <v>88</v>
      </c>
      <c r="E7" s="111">
        <v>1</v>
      </c>
      <c r="F7" s="111">
        <v>1</v>
      </c>
      <c r="G7" s="38" t="s">
        <v>92</v>
      </c>
      <c r="H7" s="41" t="s">
        <v>92</v>
      </c>
      <c r="I7" s="41" t="s">
        <v>92</v>
      </c>
      <c r="J7" s="41" t="s">
        <v>92</v>
      </c>
      <c r="K7" s="41" t="s">
        <v>92</v>
      </c>
      <c r="L7" s="41" t="s">
        <v>92</v>
      </c>
      <c r="M7" s="41" t="s">
        <v>92</v>
      </c>
      <c r="N7" s="41" t="s">
        <v>92</v>
      </c>
      <c r="O7" s="41" t="s">
        <v>92</v>
      </c>
      <c r="P7" s="41" t="s">
        <v>92</v>
      </c>
      <c r="Q7" s="41" t="s">
        <v>92</v>
      </c>
      <c r="R7" s="56" t="s">
        <v>92</v>
      </c>
    </row>
    <row r="8" spans="1:18">
      <c r="A8" s="54" t="s">
        <v>231</v>
      </c>
      <c r="B8" s="36" t="s">
        <v>232</v>
      </c>
      <c r="C8" s="107" t="s">
        <v>227</v>
      </c>
      <c r="D8" s="108" t="s">
        <v>88</v>
      </c>
      <c r="E8" s="109">
        <v>1</v>
      </c>
      <c r="F8" s="109">
        <v>2</v>
      </c>
      <c r="G8" s="37" t="s">
        <v>228</v>
      </c>
      <c r="H8" s="38" t="s">
        <v>92</v>
      </c>
      <c r="I8" s="39" t="s">
        <v>92</v>
      </c>
      <c r="J8" s="39" t="s">
        <v>92</v>
      </c>
      <c r="K8" s="39" t="s">
        <v>92</v>
      </c>
      <c r="L8" s="39" t="s">
        <v>92</v>
      </c>
      <c r="M8" s="39" t="s">
        <v>92</v>
      </c>
      <c r="N8" s="39" t="s">
        <v>92</v>
      </c>
      <c r="O8" s="39" t="s">
        <v>92</v>
      </c>
      <c r="P8" s="39" t="s">
        <v>92</v>
      </c>
      <c r="Q8" s="39" t="s">
        <v>92</v>
      </c>
      <c r="R8" s="55" t="s">
        <v>92</v>
      </c>
    </row>
    <row r="9" spans="1:18">
      <c r="A9" s="54" t="s">
        <v>233</v>
      </c>
      <c r="B9" s="40" t="s">
        <v>234</v>
      </c>
      <c r="C9" s="112" t="s">
        <v>235</v>
      </c>
      <c r="D9" s="108" t="s">
        <v>88</v>
      </c>
      <c r="E9" s="111">
        <v>1</v>
      </c>
      <c r="F9" s="111">
        <v>2</v>
      </c>
      <c r="G9" s="37" t="s">
        <v>228</v>
      </c>
      <c r="H9" s="38" t="s">
        <v>92</v>
      </c>
      <c r="I9" s="41" t="s">
        <v>92</v>
      </c>
      <c r="J9" s="41" t="s">
        <v>92</v>
      </c>
      <c r="K9" s="41" t="s">
        <v>92</v>
      </c>
      <c r="L9" s="41" t="s">
        <v>92</v>
      </c>
      <c r="M9" s="41" t="s">
        <v>92</v>
      </c>
      <c r="N9" s="41" t="s">
        <v>92</v>
      </c>
      <c r="O9" s="41" t="s">
        <v>92</v>
      </c>
      <c r="P9" s="41" t="s">
        <v>92</v>
      </c>
      <c r="Q9" s="41" t="s">
        <v>92</v>
      </c>
      <c r="R9" s="56" t="s">
        <v>92</v>
      </c>
    </row>
    <row r="10" spans="1:18">
      <c r="A10" s="54" t="s">
        <v>236</v>
      </c>
      <c r="B10" s="36" t="s">
        <v>237</v>
      </c>
      <c r="C10" s="113" t="s">
        <v>235</v>
      </c>
      <c r="D10" s="108" t="s">
        <v>88</v>
      </c>
      <c r="E10" s="109">
        <v>2</v>
      </c>
      <c r="F10" s="109">
        <v>2</v>
      </c>
      <c r="G10" s="39" t="s">
        <v>92</v>
      </c>
      <c r="H10" s="38" t="s">
        <v>92</v>
      </c>
      <c r="I10" s="39" t="s">
        <v>92</v>
      </c>
      <c r="J10" s="39" t="s">
        <v>92</v>
      </c>
      <c r="K10" s="39" t="s">
        <v>92</v>
      </c>
      <c r="L10" s="39" t="s">
        <v>92</v>
      </c>
      <c r="M10" s="39" t="s">
        <v>92</v>
      </c>
      <c r="N10" s="39" t="s">
        <v>92</v>
      </c>
      <c r="O10" s="39" t="s">
        <v>92</v>
      </c>
      <c r="P10" s="39" t="s">
        <v>92</v>
      </c>
      <c r="Q10" s="39" t="s">
        <v>92</v>
      </c>
      <c r="R10" s="55" t="s">
        <v>92</v>
      </c>
    </row>
    <row r="11" spans="1:18">
      <c r="A11" s="54" t="s">
        <v>238</v>
      </c>
      <c r="B11" s="40" t="s">
        <v>239</v>
      </c>
      <c r="C11" s="114" t="s">
        <v>240</v>
      </c>
      <c r="D11" s="108" t="s">
        <v>88</v>
      </c>
      <c r="E11" s="111">
        <v>1</v>
      </c>
      <c r="F11" s="111">
        <v>1</v>
      </c>
      <c r="G11" s="38" t="s">
        <v>92</v>
      </c>
      <c r="H11" s="41" t="s">
        <v>92</v>
      </c>
      <c r="I11" s="41" t="s">
        <v>92</v>
      </c>
      <c r="J11" s="41" t="s">
        <v>92</v>
      </c>
      <c r="K11" s="41" t="s">
        <v>92</v>
      </c>
      <c r="L11" s="41" t="s">
        <v>92</v>
      </c>
      <c r="M11" s="41" t="s">
        <v>92</v>
      </c>
      <c r="N11" s="41" t="s">
        <v>92</v>
      </c>
      <c r="O11" s="41" t="s">
        <v>92</v>
      </c>
      <c r="P11" s="41" t="s">
        <v>92</v>
      </c>
      <c r="Q11" s="41" t="s">
        <v>92</v>
      </c>
      <c r="R11" s="56" t="s">
        <v>92</v>
      </c>
    </row>
    <row r="12" spans="1:18">
      <c r="A12" s="224" t="s">
        <v>241</v>
      </c>
      <c r="B12" s="225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6"/>
    </row>
    <row r="13" spans="1:18">
      <c r="A13" s="54" t="s">
        <v>3</v>
      </c>
      <c r="B13" s="40" t="s">
        <v>242</v>
      </c>
      <c r="C13" s="110" t="s">
        <v>227</v>
      </c>
      <c r="D13" s="115" t="s">
        <v>6</v>
      </c>
      <c r="E13" s="111">
        <v>3</v>
      </c>
      <c r="F13" s="111">
        <v>4</v>
      </c>
      <c r="G13" s="41" t="s">
        <v>92</v>
      </c>
      <c r="H13" s="41" t="s">
        <v>92</v>
      </c>
      <c r="I13" s="42" t="s">
        <v>228</v>
      </c>
      <c r="J13" s="43" t="s">
        <v>92</v>
      </c>
      <c r="K13" s="41" t="s">
        <v>92</v>
      </c>
      <c r="L13" s="41" t="s">
        <v>92</v>
      </c>
      <c r="M13" s="41" t="s">
        <v>92</v>
      </c>
      <c r="N13" s="41" t="s">
        <v>92</v>
      </c>
      <c r="O13" s="41" t="s">
        <v>92</v>
      </c>
      <c r="P13" s="41" t="s">
        <v>92</v>
      </c>
      <c r="Q13" s="41" t="s">
        <v>92</v>
      </c>
      <c r="R13" s="56" t="s">
        <v>92</v>
      </c>
    </row>
    <row r="14" spans="1:18">
      <c r="A14" s="54" t="s">
        <v>7</v>
      </c>
      <c r="B14" s="36" t="s">
        <v>243</v>
      </c>
      <c r="C14" s="107" t="s">
        <v>227</v>
      </c>
      <c r="D14" s="115" t="s">
        <v>6</v>
      </c>
      <c r="E14" s="109">
        <v>3</v>
      </c>
      <c r="F14" s="109">
        <v>3</v>
      </c>
      <c r="G14" s="39" t="s">
        <v>92</v>
      </c>
      <c r="H14" s="39" t="s">
        <v>92</v>
      </c>
      <c r="I14" s="43" t="s">
        <v>92</v>
      </c>
      <c r="J14" s="39" t="s">
        <v>92</v>
      </c>
      <c r="K14" s="39" t="s">
        <v>92</v>
      </c>
      <c r="L14" s="39" t="s">
        <v>92</v>
      </c>
      <c r="M14" s="39" t="s">
        <v>92</v>
      </c>
      <c r="N14" s="39" t="s">
        <v>92</v>
      </c>
      <c r="O14" s="39" t="s">
        <v>92</v>
      </c>
      <c r="P14" s="39" t="s">
        <v>92</v>
      </c>
      <c r="Q14" s="39" t="s">
        <v>92</v>
      </c>
      <c r="R14" s="55" t="s">
        <v>92</v>
      </c>
    </row>
    <row r="15" spans="1:18">
      <c r="A15" s="54" t="s">
        <v>9</v>
      </c>
      <c r="B15" s="40" t="s">
        <v>244</v>
      </c>
      <c r="C15" s="110" t="s">
        <v>227</v>
      </c>
      <c r="D15" s="115" t="s">
        <v>6</v>
      </c>
      <c r="E15" s="111">
        <v>3</v>
      </c>
      <c r="F15" s="111">
        <v>4</v>
      </c>
      <c r="G15" s="41" t="s">
        <v>92</v>
      </c>
      <c r="H15" s="41" t="s">
        <v>92</v>
      </c>
      <c r="I15" s="42" t="s">
        <v>228</v>
      </c>
      <c r="J15" s="43" t="s">
        <v>92</v>
      </c>
      <c r="K15" s="41" t="s">
        <v>92</v>
      </c>
      <c r="L15" s="41" t="s">
        <v>92</v>
      </c>
      <c r="M15" s="41" t="s">
        <v>92</v>
      </c>
      <c r="N15" s="41" t="s">
        <v>92</v>
      </c>
      <c r="O15" s="41" t="s">
        <v>92</v>
      </c>
      <c r="P15" s="41" t="s">
        <v>92</v>
      </c>
      <c r="Q15" s="41" t="s">
        <v>92</v>
      </c>
      <c r="R15" s="56" t="s">
        <v>92</v>
      </c>
    </row>
    <row r="16" spans="1:18">
      <c r="A16" s="54" t="s">
        <v>13</v>
      </c>
      <c r="B16" s="36" t="s">
        <v>245</v>
      </c>
      <c r="C16" s="107" t="s">
        <v>227</v>
      </c>
      <c r="D16" s="115" t="s">
        <v>6</v>
      </c>
      <c r="E16" s="109">
        <v>4</v>
      </c>
      <c r="F16" s="109">
        <v>4</v>
      </c>
      <c r="G16" s="39" t="s">
        <v>92</v>
      </c>
      <c r="H16" s="39" t="s">
        <v>92</v>
      </c>
      <c r="I16" s="39" t="s">
        <v>92</v>
      </c>
      <c r="J16" s="43" t="s">
        <v>92</v>
      </c>
      <c r="K16" s="39" t="s">
        <v>92</v>
      </c>
      <c r="L16" s="39" t="s">
        <v>92</v>
      </c>
      <c r="M16" s="39" t="s">
        <v>92</v>
      </c>
      <c r="N16" s="39" t="s">
        <v>92</v>
      </c>
      <c r="O16" s="39" t="s">
        <v>92</v>
      </c>
      <c r="P16" s="39" t="s">
        <v>92</v>
      </c>
      <c r="Q16" s="39" t="s">
        <v>92</v>
      </c>
      <c r="R16" s="55" t="s">
        <v>92</v>
      </c>
    </row>
    <row r="17" spans="1:18">
      <c r="A17" s="54" t="s">
        <v>15</v>
      </c>
      <c r="B17" s="40" t="s">
        <v>246</v>
      </c>
      <c r="C17" s="110" t="s">
        <v>227</v>
      </c>
      <c r="D17" s="115" t="s">
        <v>6</v>
      </c>
      <c r="E17" s="111">
        <v>4</v>
      </c>
      <c r="F17" s="111">
        <v>4</v>
      </c>
      <c r="G17" s="41" t="s">
        <v>92</v>
      </c>
      <c r="H17" s="41" t="s">
        <v>92</v>
      </c>
      <c r="I17" s="41" t="s">
        <v>92</v>
      </c>
      <c r="J17" s="43" t="s">
        <v>92</v>
      </c>
      <c r="K17" s="41" t="s">
        <v>92</v>
      </c>
      <c r="L17" s="41" t="s">
        <v>92</v>
      </c>
      <c r="M17" s="41" t="s">
        <v>92</v>
      </c>
      <c r="N17" s="41" t="s">
        <v>92</v>
      </c>
      <c r="O17" s="41" t="s">
        <v>92</v>
      </c>
      <c r="P17" s="41" t="s">
        <v>92</v>
      </c>
      <c r="Q17" s="41" t="s">
        <v>92</v>
      </c>
      <c r="R17" s="56" t="s">
        <v>92</v>
      </c>
    </row>
    <row r="18" spans="1:18">
      <c r="A18" s="54" t="s">
        <v>17</v>
      </c>
      <c r="B18" s="36" t="s">
        <v>247</v>
      </c>
      <c r="C18" s="113" t="s">
        <v>235</v>
      </c>
      <c r="D18" s="115" t="s">
        <v>6</v>
      </c>
      <c r="E18" s="109">
        <v>3</v>
      </c>
      <c r="F18" s="109">
        <v>3</v>
      </c>
      <c r="G18" s="39" t="s">
        <v>92</v>
      </c>
      <c r="H18" s="39" t="s">
        <v>92</v>
      </c>
      <c r="I18" s="43" t="s">
        <v>92</v>
      </c>
      <c r="J18" s="39" t="s">
        <v>92</v>
      </c>
      <c r="K18" s="39" t="s">
        <v>92</v>
      </c>
      <c r="L18" s="39" t="s">
        <v>92</v>
      </c>
      <c r="M18" s="39" t="s">
        <v>92</v>
      </c>
      <c r="N18" s="39" t="s">
        <v>92</v>
      </c>
      <c r="O18" s="39" t="s">
        <v>92</v>
      </c>
      <c r="P18" s="39" t="s">
        <v>92</v>
      </c>
      <c r="Q18" s="39" t="s">
        <v>92</v>
      </c>
      <c r="R18" s="55" t="s">
        <v>92</v>
      </c>
    </row>
    <row r="19" spans="1:18">
      <c r="A19" s="54" t="s">
        <v>19</v>
      </c>
      <c r="B19" s="40" t="s">
        <v>248</v>
      </c>
      <c r="C19" s="112" t="s">
        <v>235</v>
      </c>
      <c r="D19" s="115" t="s">
        <v>6</v>
      </c>
      <c r="E19" s="111">
        <v>3</v>
      </c>
      <c r="F19" s="111">
        <v>4</v>
      </c>
      <c r="G19" s="41" t="s">
        <v>92</v>
      </c>
      <c r="H19" s="41" t="s">
        <v>92</v>
      </c>
      <c r="I19" s="42" t="s">
        <v>228</v>
      </c>
      <c r="J19" s="43" t="s">
        <v>92</v>
      </c>
      <c r="K19" s="41" t="s">
        <v>92</v>
      </c>
      <c r="L19" s="41" t="s">
        <v>92</v>
      </c>
      <c r="M19" s="41" t="s">
        <v>92</v>
      </c>
      <c r="N19" s="41" t="s">
        <v>92</v>
      </c>
      <c r="O19" s="41" t="s">
        <v>92</v>
      </c>
      <c r="P19" s="41" t="s">
        <v>92</v>
      </c>
      <c r="Q19" s="41" t="s">
        <v>92</v>
      </c>
      <c r="R19" s="56" t="s">
        <v>92</v>
      </c>
    </row>
    <row r="20" spans="1:18">
      <c r="A20" s="54" t="s">
        <v>24</v>
      </c>
      <c r="B20" s="36" t="s">
        <v>249</v>
      </c>
      <c r="C20" s="113" t="s">
        <v>235</v>
      </c>
      <c r="D20" s="115" t="s">
        <v>6</v>
      </c>
      <c r="E20" s="109">
        <v>4</v>
      </c>
      <c r="F20" s="109">
        <v>4</v>
      </c>
      <c r="G20" s="39" t="s">
        <v>92</v>
      </c>
      <c r="H20" s="39" t="s">
        <v>92</v>
      </c>
      <c r="I20" s="39" t="s">
        <v>92</v>
      </c>
      <c r="J20" s="43" t="s">
        <v>92</v>
      </c>
      <c r="K20" s="39" t="s">
        <v>92</v>
      </c>
      <c r="L20" s="39" t="s">
        <v>92</v>
      </c>
      <c r="M20" s="39" t="s">
        <v>92</v>
      </c>
      <c r="N20" s="39" t="s">
        <v>92</v>
      </c>
      <c r="O20" s="39" t="s">
        <v>92</v>
      </c>
      <c r="P20" s="39" t="s">
        <v>92</v>
      </c>
      <c r="Q20" s="39" t="s">
        <v>92</v>
      </c>
      <c r="R20" s="55" t="s">
        <v>92</v>
      </c>
    </row>
    <row r="21" spans="1:18">
      <c r="A21" s="54" t="s">
        <v>170</v>
      </c>
      <c r="B21" s="40" t="s">
        <v>250</v>
      </c>
      <c r="C21" s="112" t="s">
        <v>235</v>
      </c>
      <c r="D21" s="115" t="s">
        <v>6</v>
      </c>
      <c r="E21" s="111">
        <v>4</v>
      </c>
      <c r="F21" s="111">
        <v>4</v>
      </c>
      <c r="G21" s="41" t="s">
        <v>92</v>
      </c>
      <c r="H21" s="41" t="s">
        <v>92</v>
      </c>
      <c r="I21" s="41" t="s">
        <v>92</v>
      </c>
      <c r="J21" s="43" t="s">
        <v>92</v>
      </c>
      <c r="K21" s="41" t="s">
        <v>92</v>
      </c>
      <c r="L21" s="41" t="s">
        <v>92</v>
      </c>
      <c r="M21" s="41" t="s">
        <v>92</v>
      </c>
      <c r="N21" s="41" t="s">
        <v>92</v>
      </c>
      <c r="O21" s="41" t="s">
        <v>92</v>
      </c>
      <c r="P21" s="41" t="s">
        <v>92</v>
      </c>
      <c r="Q21" s="41" t="s">
        <v>92</v>
      </c>
      <c r="R21" s="56" t="s">
        <v>92</v>
      </c>
    </row>
    <row r="22" spans="1:18">
      <c r="A22" s="54" t="s">
        <v>172</v>
      </c>
      <c r="B22" s="36" t="s">
        <v>251</v>
      </c>
      <c r="C22" s="107" t="s">
        <v>227</v>
      </c>
      <c r="D22" s="115" t="s">
        <v>6</v>
      </c>
      <c r="E22" s="109">
        <v>3</v>
      </c>
      <c r="F22" s="109">
        <v>4</v>
      </c>
      <c r="G22" s="39" t="s">
        <v>92</v>
      </c>
      <c r="H22" s="39" t="s">
        <v>92</v>
      </c>
      <c r="I22" s="42" t="s">
        <v>228</v>
      </c>
      <c r="J22" s="43" t="s">
        <v>92</v>
      </c>
      <c r="K22" s="39" t="s">
        <v>92</v>
      </c>
      <c r="L22" s="39" t="s">
        <v>92</v>
      </c>
      <c r="M22" s="39" t="s">
        <v>92</v>
      </c>
      <c r="N22" s="39" t="s">
        <v>92</v>
      </c>
      <c r="O22" s="39" t="s">
        <v>92</v>
      </c>
      <c r="P22" s="39" t="s">
        <v>92</v>
      </c>
      <c r="Q22" s="39" t="s">
        <v>92</v>
      </c>
      <c r="R22" s="55" t="s">
        <v>92</v>
      </c>
    </row>
    <row r="23" spans="1:18">
      <c r="A23" s="227" t="s">
        <v>252</v>
      </c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9"/>
    </row>
    <row r="24" spans="1:18">
      <c r="A24" s="54" t="s">
        <v>26</v>
      </c>
      <c r="B24" s="36" t="s">
        <v>253</v>
      </c>
      <c r="C24" s="107" t="s">
        <v>227</v>
      </c>
      <c r="D24" s="116" t="s">
        <v>12</v>
      </c>
      <c r="E24" s="109">
        <v>5</v>
      </c>
      <c r="F24" s="109">
        <v>5</v>
      </c>
      <c r="G24" s="39" t="s">
        <v>92</v>
      </c>
      <c r="H24" s="39" t="s">
        <v>92</v>
      </c>
      <c r="I24" s="39" t="s">
        <v>92</v>
      </c>
      <c r="J24" s="39" t="s">
        <v>92</v>
      </c>
      <c r="K24" s="44" t="s">
        <v>92</v>
      </c>
      <c r="L24" s="39" t="s">
        <v>92</v>
      </c>
      <c r="M24" s="39" t="s">
        <v>92</v>
      </c>
      <c r="N24" s="39" t="s">
        <v>92</v>
      </c>
      <c r="O24" s="39" t="s">
        <v>92</v>
      </c>
      <c r="P24" s="39" t="s">
        <v>92</v>
      </c>
      <c r="Q24" s="39" t="s">
        <v>92</v>
      </c>
      <c r="R24" s="55" t="s">
        <v>92</v>
      </c>
    </row>
    <row r="25" spans="1:18">
      <c r="A25" s="54" t="s">
        <v>30</v>
      </c>
      <c r="B25" s="40" t="s">
        <v>254</v>
      </c>
      <c r="C25" s="110" t="s">
        <v>227</v>
      </c>
      <c r="D25" s="116" t="s">
        <v>12</v>
      </c>
      <c r="E25" s="111">
        <v>5</v>
      </c>
      <c r="F25" s="111">
        <v>6</v>
      </c>
      <c r="G25" s="41" t="s">
        <v>92</v>
      </c>
      <c r="H25" s="41" t="s">
        <v>92</v>
      </c>
      <c r="I25" s="41" t="s">
        <v>92</v>
      </c>
      <c r="J25" s="41" t="s">
        <v>92</v>
      </c>
      <c r="K25" s="45" t="s">
        <v>228</v>
      </c>
      <c r="L25" s="44" t="s">
        <v>92</v>
      </c>
      <c r="M25" s="41" t="s">
        <v>92</v>
      </c>
      <c r="N25" s="41" t="s">
        <v>92</v>
      </c>
      <c r="O25" s="41" t="s">
        <v>92</v>
      </c>
      <c r="P25" s="41" t="s">
        <v>92</v>
      </c>
      <c r="Q25" s="41" t="s">
        <v>92</v>
      </c>
      <c r="R25" s="56" t="s">
        <v>92</v>
      </c>
    </row>
    <row r="26" spans="1:18">
      <c r="A26" s="54" t="s">
        <v>32</v>
      </c>
      <c r="B26" s="36" t="s">
        <v>255</v>
      </c>
      <c r="C26" s="107" t="s">
        <v>227</v>
      </c>
      <c r="D26" s="116" t="s">
        <v>12</v>
      </c>
      <c r="E26" s="109">
        <v>5</v>
      </c>
      <c r="F26" s="109">
        <v>5</v>
      </c>
      <c r="G26" s="39" t="s">
        <v>92</v>
      </c>
      <c r="H26" s="39" t="s">
        <v>92</v>
      </c>
      <c r="I26" s="39" t="s">
        <v>92</v>
      </c>
      <c r="J26" s="39" t="s">
        <v>92</v>
      </c>
      <c r="K26" s="44" t="s">
        <v>92</v>
      </c>
      <c r="L26" s="39" t="s">
        <v>92</v>
      </c>
      <c r="M26" s="39" t="s">
        <v>92</v>
      </c>
      <c r="N26" s="39" t="s">
        <v>92</v>
      </c>
      <c r="O26" s="39" t="s">
        <v>92</v>
      </c>
      <c r="P26" s="39" t="s">
        <v>92</v>
      </c>
      <c r="Q26" s="39" t="s">
        <v>92</v>
      </c>
      <c r="R26" s="55" t="s">
        <v>92</v>
      </c>
    </row>
    <row r="27" spans="1:18">
      <c r="A27" s="54" t="s">
        <v>35</v>
      </c>
      <c r="B27" s="40" t="s">
        <v>256</v>
      </c>
      <c r="C27" s="112" t="s">
        <v>235</v>
      </c>
      <c r="D27" s="116" t="s">
        <v>12</v>
      </c>
      <c r="E27" s="111">
        <v>5</v>
      </c>
      <c r="F27" s="111">
        <v>6</v>
      </c>
      <c r="G27" s="41" t="s">
        <v>92</v>
      </c>
      <c r="H27" s="41" t="s">
        <v>92</v>
      </c>
      <c r="I27" s="41" t="s">
        <v>92</v>
      </c>
      <c r="J27" s="41" t="s">
        <v>92</v>
      </c>
      <c r="K27" s="45" t="s">
        <v>228</v>
      </c>
      <c r="L27" s="44" t="s">
        <v>92</v>
      </c>
      <c r="M27" s="41" t="s">
        <v>92</v>
      </c>
      <c r="N27" s="41" t="s">
        <v>92</v>
      </c>
      <c r="O27" s="41" t="s">
        <v>92</v>
      </c>
      <c r="P27" s="41" t="s">
        <v>92</v>
      </c>
      <c r="Q27" s="41" t="s">
        <v>92</v>
      </c>
      <c r="R27" s="56" t="s">
        <v>92</v>
      </c>
    </row>
    <row r="28" spans="1:18">
      <c r="A28" s="54" t="s">
        <v>39</v>
      </c>
      <c r="B28" s="36" t="s">
        <v>257</v>
      </c>
      <c r="C28" s="113" t="s">
        <v>235</v>
      </c>
      <c r="D28" s="116" t="s">
        <v>12</v>
      </c>
      <c r="E28" s="109">
        <v>6</v>
      </c>
      <c r="F28" s="109">
        <v>6</v>
      </c>
      <c r="G28" s="39" t="s">
        <v>92</v>
      </c>
      <c r="H28" s="39" t="s">
        <v>92</v>
      </c>
      <c r="I28" s="39" t="s">
        <v>92</v>
      </c>
      <c r="J28" s="39" t="s">
        <v>92</v>
      </c>
      <c r="K28" s="39" t="s">
        <v>92</v>
      </c>
      <c r="L28" s="44" t="s">
        <v>92</v>
      </c>
      <c r="M28" s="39" t="s">
        <v>92</v>
      </c>
      <c r="N28" s="39" t="s">
        <v>92</v>
      </c>
      <c r="O28" s="39" t="s">
        <v>92</v>
      </c>
      <c r="P28" s="39" t="s">
        <v>92</v>
      </c>
      <c r="Q28" s="39" t="s">
        <v>92</v>
      </c>
      <c r="R28" s="55" t="s">
        <v>92</v>
      </c>
    </row>
    <row r="29" spans="1:18">
      <c r="A29" s="54" t="s">
        <v>43</v>
      </c>
      <c r="B29" s="40" t="s">
        <v>258</v>
      </c>
      <c r="C29" s="112" t="s">
        <v>235</v>
      </c>
      <c r="D29" s="116" t="s">
        <v>12</v>
      </c>
      <c r="E29" s="111">
        <v>6</v>
      </c>
      <c r="F29" s="111">
        <v>6</v>
      </c>
      <c r="G29" s="41" t="s">
        <v>92</v>
      </c>
      <c r="H29" s="41" t="s">
        <v>92</v>
      </c>
      <c r="I29" s="41" t="s">
        <v>92</v>
      </c>
      <c r="J29" s="41" t="s">
        <v>92</v>
      </c>
      <c r="K29" s="41" t="s">
        <v>92</v>
      </c>
      <c r="L29" s="44" t="s">
        <v>92</v>
      </c>
      <c r="M29" s="41" t="s">
        <v>92</v>
      </c>
      <c r="N29" s="41" t="s">
        <v>92</v>
      </c>
      <c r="O29" s="41" t="s">
        <v>92</v>
      </c>
      <c r="P29" s="41" t="s">
        <v>92</v>
      </c>
      <c r="Q29" s="41" t="s">
        <v>92</v>
      </c>
      <c r="R29" s="56" t="s">
        <v>92</v>
      </c>
    </row>
    <row r="30" spans="1:18">
      <c r="A30" s="54" t="s">
        <v>47</v>
      </c>
      <c r="B30" s="36" t="s">
        <v>259</v>
      </c>
      <c r="C30" s="113" t="s">
        <v>235</v>
      </c>
      <c r="D30" s="116" t="s">
        <v>12</v>
      </c>
      <c r="E30" s="109">
        <v>6</v>
      </c>
      <c r="F30" s="109">
        <v>6</v>
      </c>
      <c r="G30" s="39" t="s">
        <v>92</v>
      </c>
      <c r="H30" s="39" t="s">
        <v>92</v>
      </c>
      <c r="I30" s="39" t="s">
        <v>92</v>
      </c>
      <c r="J30" s="39" t="s">
        <v>92</v>
      </c>
      <c r="K30" s="39" t="s">
        <v>92</v>
      </c>
      <c r="L30" s="44" t="s">
        <v>92</v>
      </c>
      <c r="M30" s="39" t="s">
        <v>92</v>
      </c>
      <c r="N30" s="39" t="s">
        <v>92</v>
      </c>
      <c r="O30" s="39" t="s">
        <v>92</v>
      </c>
      <c r="P30" s="39" t="s">
        <v>92</v>
      </c>
      <c r="Q30" s="39" t="s">
        <v>92</v>
      </c>
      <c r="R30" s="55" t="s">
        <v>92</v>
      </c>
    </row>
    <row r="31" spans="1:18">
      <c r="A31" s="54" t="s">
        <v>109</v>
      </c>
      <c r="B31" s="40" t="s">
        <v>260</v>
      </c>
      <c r="C31" s="110" t="s">
        <v>227</v>
      </c>
      <c r="D31" s="116" t="s">
        <v>12</v>
      </c>
      <c r="E31" s="111">
        <v>5</v>
      </c>
      <c r="F31" s="111">
        <v>6</v>
      </c>
      <c r="G31" s="41" t="s">
        <v>92</v>
      </c>
      <c r="H31" s="41" t="s">
        <v>92</v>
      </c>
      <c r="I31" s="41" t="s">
        <v>92</v>
      </c>
      <c r="J31" s="41" t="s">
        <v>92</v>
      </c>
      <c r="K31" s="45" t="s">
        <v>228</v>
      </c>
      <c r="L31" s="44" t="s">
        <v>92</v>
      </c>
      <c r="M31" s="41" t="s">
        <v>92</v>
      </c>
      <c r="N31" s="41" t="s">
        <v>92</v>
      </c>
      <c r="O31" s="41" t="s">
        <v>92</v>
      </c>
      <c r="P31" s="41" t="s">
        <v>92</v>
      </c>
      <c r="Q31" s="41" t="s">
        <v>92</v>
      </c>
      <c r="R31" s="56" t="s">
        <v>92</v>
      </c>
    </row>
    <row r="32" spans="1:18">
      <c r="A32" s="54" t="s">
        <v>174</v>
      </c>
      <c r="B32" s="36" t="s">
        <v>261</v>
      </c>
      <c r="C32" s="113" t="s">
        <v>235</v>
      </c>
      <c r="D32" s="116" t="s">
        <v>12</v>
      </c>
      <c r="E32" s="109">
        <v>5</v>
      </c>
      <c r="F32" s="109">
        <v>5</v>
      </c>
      <c r="G32" s="39" t="s">
        <v>92</v>
      </c>
      <c r="H32" s="39" t="s">
        <v>92</v>
      </c>
      <c r="I32" s="39" t="s">
        <v>92</v>
      </c>
      <c r="J32" s="39" t="s">
        <v>92</v>
      </c>
      <c r="K32" s="44" t="s">
        <v>92</v>
      </c>
      <c r="L32" s="39" t="s">
        <v>92</v>
      </c>
      <c r="M32" s="39" t="s">
        <v>92</v>
      </c>
      <c r="N32" s="39" t="s">
        <v>92</v>
      </c>
      <c r="O32" s="39" t="s">
        <v>92</v>
      </c>
      <c r="P32" s="39" t="s">
        <v>92</v>
      </c>
      <c r="Q32" s="39" t="s">
        <v>92</v>
      </c>
      <c r="R32" s="55" t="s">
        <v>92</v>
      </c>
    </row>
    <row r="33" spans="1:18">
      <c r="A33" s="230" t="s">
        <v>262</v>
      </c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2"/>
    </row>
    <row r="34" spans="1:18">
      <c r="A34" s="54" t="s">
        <v>111</v>
      </c>
      <c r="B34" s="36" t="s">
        <v>263</v>
      </c>
      <c r="C34" s="107" t="s">
        <v>227</v>
      </c>
      <c r="D34" s="117" t="s">
        <v>22</v>
      </c>
      <c r="E34" s="109">
        <v>7</v>
      </c>
      <c r="F34" s="109">
        <v>7</v>
      </c>
      <c r="G34" s="39" t="s">
        <v>92</v>
      </c>
      <c r="H34" s="39" t="s">
        <v>92</v>
      </c>
      <c r="I34" s="39" t="s">
        <v>92</v>
      </c>
      <c r="J34" s="39" t="s">
        <v>92</v>
      </c>
      <c r="K34" s="39" t="s">
        <v>92</v>
      </c>
      <c r="L34" s="39" t="s">
        <v>92</v>
      </c>
      <c r="M34" s="46" t="s">
        <v>92</v>
      </c>
      <c r="N34" s="39" t="s">
        <v>92</v>
      </c>
      <c r="O34" s="39" t="s">
        <v>92</v>
      </c>
      <c r="P34" s="39" t="s">
        <v>92</v>
      </c>
      <c r="Q34" s="39" t="s">
        <v>92</v>
      </c>
      <c r="R34" s="55" t="s">
        <v>92</v>
      </c>
    </row>
    <row r="35" spans="1:18">
      <c r="A35" s="54" t="s">
        <v>113</v>
      </c>
      <c r="B35" s="40" t="s">
        <v>264</v>
      </c>
      <c r="C35" s="110" t="s">
        <v>227</v>
      </c>
      <c r="D35" s="117" t="s">
        <v>22</v>
      </c>
      <c r="E35" s="111">
        <v>7</v>
      </c>
      <c r="F35" s="111">
        <v>7</v>
      </c>
      <c r="G35" s="41" t="s">
        <v>92</v>
      </c>
      <c r="H35" s="41" t="s">
        <v>92</v>
      </c>
      <c r="I35" s="41" t="s">
        <v>92</v>
      </c>
      <c r="J35" s="41" t="s">
        <v>92</v>
      </c>
      <c r="K35" s="41" t="s">
        <v>92</v>
      </c>
      <c r="L35" s="41" t="s">
        <v>92</v>
      </c>
      <c r="M35" s="46" t="s">
        <v>92</v>
      </c>
      <c r="N35" s="41" t="s">
        <v>92</v>
      </c>
      <c r="O35" s="41" t="s">
        <v>92</v>
      </c>
      <c r="P35" s="41" t="s">
        <v>92</v>
      </c>
      <c r="Q35" s="41" t="s">
        <v>92</v>
      </c>
      <c r="R35" s="56" t="s">
        <v>92</v>
      </c>
    </row>
    <row r="36" spans="1:18">
      <c r="A36" s="54" t="s">
        <v>115</v>
      </c>
      <c r="B36" s="36" t="s">
        <v>265</v>
      </c>
      <c r="C36" s="113" t="s">
        <v>235</v>
      </c>
      <c r="D36" s="117" t="s">
        <v>22</v>
      </c>
      <c r="E36" s="109">
        <v>7</v>
      </c>
      <c r="F36" s="109">
        <v>8</v>
      </c>
      <c r="G36" s="39" t="s">
        <v>92</v>
      </c>
      <c r="H36" s="39" t="s">
        <v>92</v>
      </c>
      <c r="I36" s="39" t="s">
        <v>92</v>
      </c>
      <c r="J36" s="39" t="s">
        <v>92</v>
      </c>
      <c r="K36" s="39" t="s">
        <v>92</v>
      </c>
      <c r="L36" s="39" t="s">
        <v>92</v>
      </c>
      <c r="M36" s="47" t="s">
        <v>228</v>
      </c>
      <c r="N36" s="46" t="s">
        <v>92</v>
      </c>
      <c r="O36" s="39" t="s">
        <v>92</v>
      </c>
      <c r="P36" s="39" t="s">
        <v>92</v>
      </c>
      <c r="Q36" s="39" t="s">
        <v>92</v>
      </c>
      <c r="R36" s="55" t="s">
        <v>92</v>
      </c>
    </row>
    <row r="37" spans="1:18">
      <c r="A37" s="54" t="s">
        <v>117</v>
      </c>
      <c r="B37" s="40" t="s">
        <v>266</v>
      </c>
      <c r="C37" s="112" t="s">
        <v>235</v>
      </c>
      <c r="D37" s="117" t="s">
        <v>22</v>
      </c>
      <c r="E37" s="111">
        <v>7</v>
      </c>
      <c r="F37" s="111">
        <v>7</v>
      </c>
      <c r="G37" s="41" t="s">
        <v>92</v>
      </c>
      <c r="H37" s="41" t="s">
        <v>92</v>
      </c>
      <c r="I37" s="41" t="s">
        <v>92</v>
      </c>
      <c r="J37" s="41" t="s">
        <v>92</v>
      </c>
      <c r="K37" s="41" t="s">
        <v>92</v>
      </c>
      <c r="L37" s="41" t="s">
        <v>92</v>
      </c>
      <c r="M37" s="46" t="s">
        <v>92</v>
      </c>
      <c r="N37" s="41" t="s">
        <v>92</v>
      </c>
      <c r="O37" s="41" t="s">
        <v>92</v>
      </c>
      <c r="P37" s="41" t="s">
        <v>92</v>
      </c>
      <c r="Q37" s="41" t="s">
        <v>92</v>
      </c>
      <c r="R37" s="56" t="s">
        <v>92</v>
      </c>
    </row>
    <row r="38" spans="1:18">
      <c r="A38" s="54" t="s">
        <v>120</v>
      </c>
      <c r="B38" s="36" t="s">
        <v>267</v>
      </c>
      <c r="C38" s="107" t="s">
        <v>227</v>
      </c>
      <c r="D38" s="117" t="s">
        <v>22</v>
      </c>
      <c r="E38" s="109">
        <v>7</v>
      </c>
      <c r="F38" s="109">
        <v>8</v>
      </c>
      <c r="G38" s="39" t="s">
        <v>92</v>
      </c>
      <c r="H38" s="39" t="s">
        <v>92</v>
      </c>
      <c r="I38" s="39" t="s">
        <v>92</v>
      </c>
      <c r="J38" s="39" t="s">
        <v>92</v>
      </c>
      <c r="K38" s="39" t="s">
        <v>92</v>
      </c>
      <c r="L38" s="39" t="s">
        <v>92</v>
      </c>
      <c r="M38" s="47" t="s">
        <v>228</v>
      </c>
      <c r="N38" s="46" t="s">
        <v>92</v>
      </c>
      <c r="O38" s="39" t="s">
        <v>92</v>
      </c>
      <c r="P38" s="39" t="s">
        <v>92</v>
      </c>
      <c r="Q38" s="39" t="s">
        <v>92</v>
      </c>
      <c r="R38" s="55" t="s">
        <v>92</v>
      </c>
    </row>
    <row r="39" spans="1:18">
      <c r="A39" s="54" t="s">
        <v>122</v>
      </c>
      <c r="B39" s="40" t="s">
        <v>268</v>
      </c>
      <c r="C39" s="110" t="s">
        <v>227</v>
      </c>
      <c r="D39" s="117" t="s">
        <v>22</v>
      </c>
      <c r="E39" s="111">
        <v>8</v>
      </c>
      <c r="F39" s="111">
        <v>8</v>
      </c>
      <c r="G39" s="41" t="s">
        <v>92</v>
      </c>
      <c r="H39" s="41" t="s">
        <v>92</v>
      </c>
      <c r="I39" s="41" t="s">
        <v>92</v>
      </c>
      <c r="J39" s="41" t="s">
        <v>92</v>
      </c>
      <c r="K39" s="41" t="s">
        <v>92</v>
      </c>
      <c r="L39" s="41" t="s">
        <v>92</v>
      </c>
      <c r="M39" s="41" t="s">
        <v>92</v>
      </c>
      <c r="N39" s="46" t="s">
        <v>92</v>
      </c>
      <c r="O39" s="41" t="s">
        <v>92</v>
      </c>
      <c r="P39" s="41" t="s">
        <v>92</v>
      </c>
      <c r="Q39" s="41" t="s">
        <v>92</v>
      </c>
      <c r="R39" s="56" t="s">
        <v>92</v>
      </c>
    </row>
    <row r="40" spans="1:18">
      <c r="A40" s="54" t="s">
        <v>124</v>
      </c>
      <c r="B40" s="36" t="s">
        <v>269</v>
      </c>
      <c r="C40" s="107" t="s">
        <v>227</v>
      </c>
      <c r="D40" s="117" t="s">
        <v>22</v>
      </c>
      <c r="E40" s="109">
        <v>8</v>
      </c>
      <c r="F40" s="109">
        <v>8</v>
      </c>
      <c r="G40" s="39" t="s">
        <v>92</v>
      </c>
      <c r="H40" s="39" t="s">
        <v>92</v>
      </c>
      <c r="I40" s="39" t="s">
        <v>92</v>
      </c>
      <c r="J40" s="39" t="s">
        <v>92</v>
      </c>
      <c r="K40" s="39" t="s">
        <v>92</v>
      </c>
      <c r="L40" s="39" t="s">
        <v>92</v>
      </c>
      <c r="M40" s="39" t="s">
        <v>92</v>
      </c>
      <c r="N40" s="46" t="s">
        <v>92</v>
      </c>
      <c r="O40" s="39" t="s">
        <v>92</v>
      </c>
      <c r="P40" s="39" t="s">
        <v>92</v>
      </c>
      <c r="Q40" s="39" t="s">
        <v>92</v>
      </c>
      <c r="R40" s="55" t="s">
        <v>92</v>
      </c>
    </row>
    <row r="41" spans="1:18">
      <c r="A41" s="54" t="s">
        <v>127</v>
      </c>
      <c r="B41" s="40" t="s">
        <v>125</v>
      </c>
      <c r="C41" s="112" t="s">
        <v>235</v>
      </c>
      <c r="D41" s="117" t="s">
        <v>22</v>
      </c>
      <c r="E41" s="111">
        <v>8</v>
      </c>
      <c r="F41" s="111">
        <v>8</v>
      </c>
      <c r="G41" s="41" t="s">
        <v>92</v>
      </c>
      <c r="H41" s="41" t="s">
        <v>92</v>
      </c>
      <c r="I41" s="41" t="s">
        <v>92</v>
      </c>
      <c r="J41" s="41" t="s">
        <v>92</v>
      </c>
      <c r="K41" s="41" t="s">
        <v>92</v>
      </c>
      <c r="L41" s="41" t="s">
        <v>92</v>
      </c>
      <c r="M41" s="41" t="s">
        <v>92</v>
      </c>
      <c r="N41" s="46" t="s">
        <v>92</v>
      </c>
      <c r="O41" s="41" t="s">
        <v>92</v>
      </c>
      <c r="P41" s="41" t="s">
        <v>92</v>
      </c>
      <c r="Q41" s="41" t="s">
        <v>92</v>
      </c>
      <c r="R41" s="56" t="s">
        <v>92</v>
      </c>
    </row>
    <row r="42" spans="1:18">
      <c r="A42" s="54" t="s">
        <v>176</v>
      </c>
      <c r="B42" s="36" t="s">
        <v>270</v>
      </c>
      <c r="C42" s="113" t="s">
        <v>235</v>
      </c>
      <c r="D42" s="117" t="s">
        <v>22</v>
      </c>
      <c r="E42" s="109">
        <v>7</v>
      </c>
      <c r="F42" s="109">
        <v>8</v>
      </c>
      <c r="G42" s="39" t="s">
        <v>92</v>
      </c>
      <c r="H42" s="39" t="s">
        <v>92</v>
      </c>
      <c r="I42" s="39" t="s">
        <v>92</v>
      </c>
      <c r="J42" s="39" t="s">
        <v>92</v>
      </c>
      <c r="K42" s="39" t="s">
        <v>92</v>
      </c>
      <c r="L42" s="39" t="s">
        <v>92</v>
      </c>
      <c r="M42" s="47" t="s">
        <v>228</v>
      </c>
      <c r="N42" s="46" t="s">
        <v>92</v>
      </c>
      <c r="O42" s="39" t="s">
        <v>92</v>
      </c>
      <c r="P42" s="39" t="s">
        <v>92</v>
      </c>
      <c r="Q42" s="39" t="s">
        <v>92</v>
      </c>
      <c r="R42" s="55" t="s">
        <v>92</v>
      </c>
    </row>
    <row r="43" spans="1:18">
      <c r="A43" s="54" t="s">
        <v>178</v>
      </c>
      <c r="B43" s="40" t="s">
        <v>271</v>
      </c>
      <c r="C43" s="110" t="s">
        <v>227</v>
      </c>
      <c r="D43" s="117" t="s">
        <v>22</v>
      </c>
      <c r="E43" s="111">
        <v>8</v>
      </c>
      <c r="F43" s="111">
        <v>8</v>
      </c>
      <c r="G43" s="41" t="s">
        <v>92</v>
      </c>
      <c r="H43" s="41" t="s">
        <v>92</v>
      </c>
      <c r="I43" s="41" t="s">
        <v>92</v>
      </c>
      <c r="J43" s="41" t="s">
        <v>92</v>
      </c>
      <c r="K43" s="41" t="s">
        <v>92</v>
      </c>
      <c r="L43" s="41" t="s">
        <v>92</v>
      </c>
      <c r="M43" s="41" t="s">
        <v>92</v>
      </c>
      <c r="N43" s="46" t="s">
        <v>92</v>
      </c>
      <c r="O43" s="41" t="s">
        <v>92</v>
      </c>
      <c r="P43" s="41" t="s">
        <v>92</v>
      </c>
      <c r="Q43" s="41" t="s">
        <v>92</v>
      </c>
      <c r="R43" s="56" t="s">
        <v>92</v>
      </c>
    </row>
    <row r="44" spans="1:18">
      <c r="A44" s="233" t="s">
        <v>272</v>
      </c>
      <c r="B44" s="234"/>
      <c r="C44" s="234"/>
      <c r="D44" s="234"/>
      <c r="E44" s="234"/>
      <c r="F44" s="234"/>
      <c r="G44" s="234"/>
      <c r="H44" s="234"/>
      <c r="I44" s="234"/>
      <c r="J44" s="234"/>
      <c r="K44" s="234"/>
      <c r="L44" s="234"/>
      <c r="M44" s="234"/>
      <c r="N44" s="234"/>
      <c r="O44" s="234"/>
      <c r="P44" s="234"/>
      <c r="Q44" s="234"/>
      <c r="R44" s="235"/>
    </row>
    <row r="45" spans="1:18">
      <c r="A45" s="54" t="s">
        <v>129</v>
      </c>
      <c r="B45" s="40" t="s">
        <v>273</v>
      </c>
      <c r="C45" s="110" t="s">
        <v>227</v>
      </c>
      <c r="D45" s="118" t="s">
        <v>23</v>
      </c>
      <c r="E45" s="111">
        <v>9</v>
      </c>
      <c r="F45" s="111">
        <v>9</v>
      </c>
      <c r="G45" s="41" t="s">
        <v>92</v>
      </c>
      <c r="H45" s="41" t="s">
        <v>92</v>
      </c>
      <c r="I45" s="41" t="s">
        <v>92</v>
      </c>
      <c r="J45" s="41" t="s">
        <v>92</v>
      </c>
      <c r="K45" s="41" t="s">
        <v>92</v>
      </c>
      <c r="L45" s="41" t="s">
        <v>92</v>
      </c>
      <c r="M45" s="41" t="s">
        <v>92</v>
      </c>
      <c r="N45" s="41" t="s">
        <v>92</v>
      </c>
      <c r="O45" s="48" t="s">
        <v>92</v>
      </c>
      <c r="P45" s="41" t="s">
        <v>92</v>
      </c>
      <c r="Q45" s="41" t="s">
        <v>92</v>
      </c>
      <c r="R45" s="56" t="s">
        <v>92</v>
      </c>
    </row>
    <row r="46" spans="1:18">
      <c r="A46" s="54" t="s">
        <v>131</v>
      </c>
      <c r="B46" s="36" t="s">
        <v>274</v>
      </c>
      <c r="C46" s="107" t="s">
        <v>227</v>
      </c>
      <c r="D46" s="118" t="s">
        <v>23</v>
      </c>
      <c r="E46" s="109">
        <v>9</v>
      </c>
      <c r="F46" s="109">
        <v>9</v>
      </c>
      <c r="G46" s="39" t="s">
        <v>92</v>
      </c>
      <c r="H46" s="39" t="s">
        <v>92</v>
      </c>
      <c r="I46" s="39" t="s">
        <v>92</v>
      </c>
      <c r="J46" s="39" t="s">
        <v>92</v>
      </c>
      <c r="K46" s="39" t="s">
        <v>92</v>
      </c>
      <c r="L46" s="39" t="s">
        <v>92</v>
      </c>
      <c r="M46" s="39" t="s">
        <v>92</v>
      </c>
      <c r="N46" s="39" t="s">
        <v>92</v>
      </c>
      <c r="O46" s="48" t="s">
        <v>92</v>
      </c>
      <c r="P46" s="39" t="s">
        <v>92</v>
      </c>
      <c r="Q46" s="39" t="s">
        <v>92</v>
      </c>
      <c r="R46" s="55" t="s">
        <v>92</v>
      </c>
    </row>
    <row r="47" spans="1:18">
      <c r="A47" s="54" t="s">
        <v>133</v>
      </c>
      <c r="B47" s="40" t="s">
        <v>275</v>
      </c>
      <c r="C47" s="110" t="s">
        <v>227</v>
      </c>
      <c r="D47" s="118" t="s">
        <v>23</v>
      </c>
      <c r="E47" s="111">
        <v>9</v>
      </c>
      <c r="F47" s="111">
        <v>10</v>
      </c>
      <c r="G47" s="41" t="s">
        <v>92</v>
      </c>
      <c r="H47" s="41" t="s">
        <v>92</v>
      </c>
      <c r="I47" s="41" t="s">
        <v>92</v>
      </c>
      <c r="J47" s="41" t="s">
        <v>92</v>
      </c>
      <c r="K47" s="41" t="s">
        <v>92</v>
      </c>
      <c r="L47" s="41" t="s">
        <v>92</v>
      </c>
      <c r="M47" s="41" t="s">
        <v>92</v>
      </c>
      <c r="N47" s="41" t="s">
        <v>92</v>
      </c>
      <c r="O47" s="49" t="s">
        <v>228</v>
      </c>
      <c r="P47" s="48" t="s">
        <v>92</v>
      </c>
      <c r="Q47" s="41" t="s">
        <v>92</v>
      </c>
      <c r="R47" s="56" t="s">
        <v>92</v>
      </c>
    </row>
    <row r="48" spans="1:18">
      <c r="A48" s="54" t="s">
        <v>135</v>
      </c>
      <c r="B48" s="36" t="s">
        <v>276</v>
      </c>
      <c r="C48" s="113" t="s">
        <v>235</v>
      </c>
      <c r="D48" s="118" t="s">
        <v>23</v>
      </c>
      <c r="E48" s="109">
        <v>9</v>
      </c>
      <c r="F48" s="109">
        <v>10</v>
      </c>
      <c r="G48" s="39" t="s">
        <v>92</v>
      </c>
      <c r="H48" s="39" t="s">
        <v>92</v>
      </c>
      <c r="I48" s="39" t="s">
        <v>92</v>
      </c>
      <c r="J48" s="39" t="s">
        <v>92</v>
      </c>
      <c r="K48" s="39" t="s">
        <v>92</v>
      </c>
      <c r="L48" s="39" t="s">
        <v>92</v>
      </c>
      <c r="M48" s="39" t="s">
        <v>92</v>
      </c>
      <c r="N48" s="39" t="s">
        <v>92</v>
      </c>
      <c r="O48" s="49" t="s">
        <v>228</v>
      </c>
      <c r="P48" s="48" t="s">
        <v>92</v>
      </c>
      <c r="Q48" s="39" t="s">
        <v>92</v>
      </c>
      <c r="R48" s="55" t="s">
        <v>92</v>
      </c>
    </row>
    <row r="49" spans="1:18">
      <c r="A49" s="54" t="s">
        <v>137</v>
      </c>
      <c r="B49" s="40" t="s">
        <v>277</v>
      </c>
      <c r="C49" s="112" t="s">
        <v>235</v>
      </c>
      <c r="D49" s="118" t="s">
        <v>23</v>
      </c>
      <c r="E49" s="111">
        <v>10</v>
      </c>
      <c r="F49" s="111">
        <v>10</v>
      </c>
      <c r="G49" s="41" t="s">
        <v>92</v>
      </c>
      <c r="H49" s="41" t="s">
        <v>92</v>
      </c>
      <c r="I49" s="41" t="s">
        <v>92</v>
      </c>
      <c r="J49" s="41" t="s">
        <v>92</v>
      </c>
      <c r="K49" s="41" t="s">
        <v>92</v>
      </c>
      <c r="L49" s="41" t="s">
        <v>92</v>
      </c>
      <c r="M49" s="41" t="s">
        <v>92</v>
      </c>
      <c r="N49" s="41" t="s">
        <v>92</v>
      </c>
      <c r="O49" s="41" t="s">
        <v>92</v>
      </c>
      <c r="P49" s="48" t="s">
        <v>92</v>
      </c>
      <c r="Q49" s="41" t="s">
        <v>92</v>
      </c>
      <c r="R49" s="56" t="s">
        <v>92</v>
      </c>
    </row>
    <row r="50" spans="1:18">
      <c r="A50" s="54" t="s">
        <v>139</v>
      </c>
      <c r="B50" s="36" t="s">
        <v>278</v>
      </c>
      <c r="C50" s="113" t="s">
        <v>235</v>
      </c>
      <c r="D50" s="118" t="s">
        <v>23</v>
      </c>
      <c r="E50" s="109">
        <v>10</v>
      </c>
      <c r="F50" s="109">
        <v>10</v>
      </c>
      <c r="G50" s="39" t="s">
        <v>92</v>
      </c>
      <c r="H50" s="39" t="s">
        <v>92</v>
      </c>
      <c r="I50" s="39" t="s">
        <v>92</v>
      </c>
      <c r="J50" s="39" t="s">
        <v>92</v>
      </c>
      <c r="K50" s="39" t="s">
        <v>92</v>
      </c>
      <c r="L50" s="39" t="s">
        <v>92</v>
      </c>
      <c r="M50" s="39" t="s">
        <v>92</v>
      </c>
      <c r="N50" s="39" t="s">
        <v>92</v>
      </c>
      <c r="O50" s="39" t="s">
        <v>92</v>
      </c>
      <c r="P50" s="48" t="s">
        <v>92</v>
      </c>
      <c r="Q50" s="39" t="s">
        <v>92</v>
      </c>
      <c r="R50" s="55" t="s">
        <v>92</v>
      </c>
    </row>
    <row r="51" spans="1:18">
      <c r="A51" s="54" t="s">
        <v>180</v>
      </c>
      <c r="B51" s="40" t="s">
        <v>279</v>
      </c>
      <c r="C51" s="110" t="s">
        <v>227</v>
      </c>
      <c r="D51" s="118" t="s">
        <v>23</v>
      </c>
      <c r="E51" s="111">
        <v>9</v>
      </c>
      <c r="F51" s="111">
        <v>9</v>
      </c>
      <c r="G51" s="41" t="s">
        <v>92</v>
      </c>
      <c r="H51" s="41" t="s">
        <v>92</v>
      </c>
      <c r="I51" s="41" t="s">
        <v>92</v>
      </c>
      <c r="J51" s="41" t="s">
        <v>92</v>
      </c>
      <c r="K51" s="41" t="s">
        <v>92</v>
      </c>
      <c r="L51" s="41" t="s">
        <v>92</v>
      </c>
      <c r="M51" s="41" t="s">
        <v>92</v>
      </c>
      <c r="N51" s="41" t="s">
        <v>92</v>
      </c>
      <c r="O51" s="48" t="s">
        <v>92</v>
      </c>
      <c r="P51" s="41" t="s">
        <v>92</v>
      </c>
      <c r="Q51" s="41" t="s">
        <v>92</v>
      </c>
      <c r="R51" s="56" t="s">
        <v>92</v>
      </c>
    </row>
    <row r="52" spans="1:18">
      <c r="A52" s="54" t="s">
        <v>182</v>
      </c>
      <c r="B52" s="36" t="s">
        <v>280</v>
      </c>
      <c r="C52" s="113" t="s">
        <v>235</v>
      </c>
      <c r="D52" s="118" t="s">
        <v>23</v>
      </c>
      <c r="E52" s="109">
        <v>9</v>
      </c>
      <c r="F52" s="109">
        <v>10</v>
      </c>
      <c r="G52" s="39" t="s">
        <v>92</v>
      </c>
      <c r="H52" s="39" t="s">
        <v>92</v>
      </c>
      <c r="I52" s="39" t="s">
        <v>92</v>
      </c>
      <c r="J52" s="39" t="s">
        <v>92</v>
      </c>
      <c r="K52" s="39" t="s">
        <v>92</v>
      </c>
      <c r="L52" s="39" t="s">
        <v>92</v>
      </c>
      <c r="M52" s="39" t="s">
        <v>92</v>
      </c>
      <c r="N52" s="39" t="s">
        <v>92</v>
      </c>
      <c r="O52" s="49" t="s">
        <v>228</v>
      </c>
      <c r="P52" s="48" t="s">
        <v>92</v>
      </c>
      <c r="Q52" s="39" t="s">
        <v>92</v>
      </c>
      <c r="R52" s="55" t="s">
        <v>92</v>
      </c>
    </row>
    <row r="53" spans="1:18">
      <c r="A53" s="236" t="s">
        <v>281</v>
      </c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8"/>
    </row>
    <row r="54" spans="1:18">
      <c r="A54" s="54" t="s">
        <v>142</v>
      </c>
      <c r="B54" s="36" t="s">
        <v>282</v>
      </c>
      <c r="C54" s="107" t="s">
        <v>227</v>
      </c>
      <c r="D54" s="119" t="s">
        <v>28</v>
      </c>
      <c r="E54" s="109">
        <v>11</v>
      </c>
      <c r="F54" s="109">
        <v>11</v>
      </c>
      <c r="G54" s="39" t="s">
        <v>92</v>
      </c>
      <c r="H54" s="39" t="s">
        <v>92</v>
      </c>
      <c r="I54" s="39" t="s">
        <v>92</v>
      </c>
      <c r="J54" s="39" t="s">
        <v>92</v>
      </c>
      <c r="K54" s="39" t="s">
        <v>92</v>
      </c>
      <c r="L54" s="39" t="s">
        <v>92</v>
      </c>
      <c r="M54" s="39" t="s">
        <v>92</v>
      </c>
      <c r="N54" s="39" t="s">
        <v>92</v>
      </c>
      <c r="O54" s="39" t="s">
        <v>92</v>
      </c>
      <c r="P54" s="39" t="s">
        <v>92</v>
      </c>
      <c r="Q54" s="50" t="s">
        <v>92</v>
      </c>
      <c r="R54" s="55" t="s">
        <v>92</v>
      </c>
    </row>
    <row r="55" spans="1:18">
      <c r="A55" s="54" t="s">
        <v>144</v>
      </c>
      <c r="B55" s="40" t="s">
        <v>283</v>
      </c>
      <c r="C55" s="112" t="s">
        <v>235</v>
      </c>
      <c r="D55" s="119" t="s">
        <v>28</v>
      </c>
      <c r="E55" s="111">
        <v>11</v>
      </c>
      <c r="F55" s="111">
        <v>11</v>
      </c>
      <c r="G55" s="41" t="s">
        <v>92</v>
      </c>
      <c r="H55" s="41" t="s">
        <v>92</v>
      </c>
      <c r="I55" s="41" t="s">
        <v>92</v>
      </c>
      <c r="J55" s="41" t="s">
        <v>92</v>
      </c>
      <c r="K55" s="41" t="s">
        <v>92</v>
      </c>
      <c r="L55" s="41" t="s">
        <v>92</v>
      </c>
      <c r="M55" s="41" t="s">
        <v>92</v>
      </c>
      <c r="N55" s="41" t="s">
        <v>92</v>
      </c>
      <c r="O55" s="41" t="s">
        <v>92</v>
      </c>
      <c r="P55" s="41" t="s">
        <v>92</v>
      </c>
      <c r="Q55" s="50" t="s">
        <v>92</v>
      </c>
      <c r="R55" s="56" t="s">
        <v>92</v>
      </c>
    </row>
    <row r="56" spans="1:18">
      <c r="A56" s="54" t="s">
        <v>146</v>
      </c>
      <c r="B56" s="36" t="s">
        <v>284</v>
      </c>
      <c r="C56" s="107" t="s">
        <v>227</v>
      </c>
      <c r="D56" s="119" t="s">
        <v>28</v>
      </c>
      <c r="E56" s="109">
        <v>11</v>
      </c>
      <c r="F56" s="109">
        <v>12</v>
      </c>
      <c r="G56" s="39" t="s">
        <v>92</v>
      </c>
      <c r="H56" s="39" t="s">
        <v>92</v>
      </c>
      <c r="I56" s="39" t="s">
        <v>92</v>
      </c>
      <c r="J56" s="39" t="s">
        <v>92</v>
      </c>
      <c r="K56" s="39" t="s">
        <v>92</v>
      </c>
      <c r="L56" s="39" t="s">
        <v>92</v>
      </c>
      <c r="M56" s="39" t="s">
        <v>92</v>
      </c>
      <c r="N56" s="39" t="s">
        <v>92</v>
      </c>
      <c r="O56" s="39" t="s">
        <v>92</v>
      </c>
      <c r="P56" s="39" t="s">
        <v>92</v>
      </c>
      <c r="Q56" s="51" t="s">
        <v>228</v>
      </c>
      <c r="R56" s="57" t="s">
        <v>92</v>
      </c>
    </row>
    <row r="57" spans="1:18">
      <c r="A57" s="54" t="s">
        <v>148</v>
      </c>
      <c r="B57" s="40" t="s">
        <v>285</v>
      </c>
      <c r="C57" s="112" t="s">
        <v>235</v>
      </c>
      <c r="D57" s="119" t="s">
        <v>28</v>
      </c>
      <c r="E57" s="111">
        <v>11</v>
      </c>
      <c r="F57" s="111">
        <v>12</v>
      </c>
      <c r="G57" s="41" t="s">
        <v>92</v>
      </c>
      <c r="H57" s="41" t="s">
        <v>92</v>
      </c>
      <c r="I57" s="41" t="s">
        <v>92</v>
      </c>
      <c r="J57" s="41" t="s">
        <v>92</v>
      </c>
      <c r="K57" s="41" t="s">
        <v>92</v>
      </c>
      <c r="L57" s="41" t="s">
        <v>92</v>
      </c>
      <c r="M57" s="41" t="s">
        <v>92</v>
      </c>
      <c r="N57" s="41" t="s">
        <v>92</v>
      </c>
      <c r="O57" s="41" t="s">
        <v>92</v>
      </c>
      <c r="P57" s="41" t="s">
        <v>92</v>
      </c>
      <c r="Q57" s="51" t="s">
        <v>228</v>
      </c>
      <c r="R57" s="57" t="s">
        <v>92</v>
      </c>
    </row>
    <row r="58" spans="1:18">
      <c r="A58" s="54" t="s">
        <v>150</v>
      </c>
      <c r="B58" s="36" t="s">
        <v>286</v>
      </c>
      <c r="C58" s="113" t="s">
        <v>235</v>
      </c>
      <c r="D58" s="119" t="s">
        <v>28</v>
      </c>
      <c r="E58" s="109">
        <v>12</v>
      </c>
      <c r="F58" s="109">
        <v>12</v>
      </c>
      <c r="G58" s="39" t="s">
        <v>92</v>
      </c>
      <c r="H58" s="39" t="s">
        <v>92</v>
      </c>
      <c r="I58" s="39" t="s">
        <v>92</v>
      </c>
      <c r="J58" s="39" t="s">
        <v>92</v>
      </c>
      <c r="K58" s="39" t="s">
        <v>92</v>
      </c>
      <c r="L58" s="39" t="s">
        <v>92</v>
      </c>
      <c r="M58" s="39" t="s">
        <v>92</v>
      </c>
      <c r="N58" s="39" t="s">
        <v>92</v>
      </c>
      <c r="O58" s="39" t="s">
        <v>92</v>
      </c>
      <c r="P58" s="39" t="s">
        <v>92</v>
      </c>
      <c r="Q58" s="39" t="s">
        <v>92</v>
      </c>
      <c r="R58" s="57" t="s">
        <v>92</v>
      </c>
    </row>
    <row r="59" spans="1:18">
      <c r="A59" s="54" t="s">
        <v>184</v>
      </c>
      <c r="B59" s="40" t="s">
        <v>287</v>
      </c>
      <c r="C59" s="110" t="s">
        <v>227</v>
      </c>
      <c r="D59" s="119" t="s">
        <v>28</v>
      </c>
      <c r="E59" s="111">
        <v>12</v>
      </c>
      <c r="F59" s="111">
        <v>12</v>
      </c>
      <c r="G59" s="41" t="s">
        <v>92</v>
      </c>
      <c r="H59" s="41" t="s">
        <v>92</v>
      </c>
      <c r="I59" s="41" t="s">
        <v>92</v>
      </c>
      <c r="J59" s="41" t="s">
        <v>92</v>
      </c>
      <c r="K59" s="41" t="s">
        <v>92</v>
      </c>
      <c r="L59" s="41" t="s">
        <v>92</v>
      </c>
      <c r="M59" s="41" t="s">
        <v>92</v>
      </c>
      <c r="N59" s="41" t="s">
        <v>92</v>
      </c>
      <c r="O59" s="41" t="s">
        <v>92</v>
      </c>
      <c r="P59" s="41" t="s">
        <v>92</v>
      </c>
      <c r="Q59" s="41" t="s">
        <v>92</v>
      </c>
      <c r="R59" s="57" t="s">
        <v>92</v>
      </c>
    </row>
    <row r="60" spans="1:18">
      <c r="A60" s="54" t="s">
        <v>186</v>
      </c>
      <c r="B60" s="36" t="s">
        <v>288</v>
      </c>
      <c r="C60" s="113" t="s">
        <v>235</v>
      </c>
      <c r="D60" s="119" t="s">
        <v>28</v>
      </c>
      <c r="E60" s="109">
        <v>12</v>
      </c>
      <c r="F60" s="109">
        <v>12</v>
      </c>
      <c r="G60" s="39" t="s">
        <v>92</v>
      </c>
      <c r="H60" s="39" t="s">
        <v>92</v>
      </c>
      <c r="I60" s="39" t="s">
        <v>92</v>
      </c>
      <c r="J60" s="39" t="s">
        <v>92</v>
      </c>
      <c r="K60" s="39" t="s">
        <v>92</v>
      </c>
      <c r="L60" s="39" t="s">
        <v>92</v>
      </c>
      <c r="M60" s="39" t="s">
        <v>92</v>
      </c>
      <c r="N60" s="39" t="s">
        <v>92</v>
      </c>
      <c r="O60" s="39" t="s">
        <v>92</v>
      </c>
      <c r="P60" s="39" t="s">
        <v>92</v>
      </c>
      <c r="Q60" s="39" t="s">
        <v>92</v>
      </c>
      <c r="R60" s="57" t="s">
        <v>92</v>
      </c>
    </row>
    <row r="61" spans="1:18">
      <c r="A61" s="54"/>
      <c r="B61" s="40" t="s">
        <v>289</v>
      </c>
      <c r="C61" s="114" t="s">
        <v>240</v>
      </c>
      <c r="D61" s="119" t="s">
        <v>28</v>
      </c>
      <c r="E61" s="111">
        <v>11</v>
      </c>
      <c r="F61" s="111">
        <v>12</v>
      </c>
      <c r="G61" s="41" t="s">
        <v>92</v>
      </c>
      <c r="H61" s="41" t="s">
        <v>92</v>
      </c>
      <c r="I61" s="41" t="s">
        <v>92</v>
      </c>
      <c r="J61" s="41" t="s">
        <v>92</v>
      </c>
      <c r="K61" s="41" t="s">
        <v>92</v>
      </c>
      <c r="L61" s="41" t="s">
        <v>92</v>
      </c>
      <c r="M61" s="41" t="s">
        <v>92</v>
      </c>
      <c r="N61" s="41" t="s">
        <v>92</v>
      </c>
      <c r="O61" s="41" t="s">
        <v>92</v>
      </c>
      <c r="P61" s="41" t="s">
        <v>92</v>
      </c>
      <c r="Q61" s="51" t="s">
        <v>228</v>
      </c>
      <c r="R61" s="57" t="s">
        <v>92</v>
      </c>
    </row>
    <row r="62" spans="1:18">
      <c r="A62" s="214" t="s">
        <v>290</v>
      </c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6"/>
    </row>
    <row r="63" spans="1:18">
      <c r="A63" s="54" t="s">
        <v>291</v>
      </c>
      <c r="B63" s="40" t="s">
        <v>292</v>
      </c>
      <c r="C63" s="110" t="s">
        <v>227</v>
      </c>
      <c r="D63" s="108" t="s">
        <v>88</v>
      </c>
      <c r="E63" s="111">
        <v>1</v>
      </c>
      <c r="F63" s="111">
        <v>2</v>
      </c>
      <c r="G63" s="52" t="s">
        <v>228</v>
      </c>
      <c r="H63" s="53" t="s">
        <v>92</v>
      </c>
      <c r="I63" s="41" t="s">
        <v>92</v>
      </c>
      <c r="J63" s="41" t="s">
        <v>92</v>
      </c>
      <c r="K63" s="41" t="s">
        <v>92</v>
      </c>
      <c r="L63" s="41" t="s">
        <v>92</v>
      </c>
      <c r="M63" s="41" t="s">
        <v>92</v>
      </c>
      <c r="N63" s="41" t="s">
        <v>92</v>
      </c>
      <c r="O63" s="41" t="s">
        <v>92</v>
      </c>
      <c r="P63" s="41" t="s">
        <v>92</v>
      </c>
      <c r="Q63" s="41" t="s">
        <v>92</v>
      </c>
      <c r="R63" s="56" t="s">
        <v>92</v>
      </c>
    </row>
    <row r="64" spans="1:18">
      <c r="A64" s="54" t="s">
        <v>293</v>
      </c>
      <c r="B64" s="36" t="s">
        <v>294</v>
      </c>
      <c r="C64" s="107" t="s">
        <v>227</v>
      </c>
      <c r="D64" s="115" t="s">
        <v>6</v>
      </c>
      <c r="E64" s="109">
        <v>3</v>
      </c>
      <c r="F64" s="109">
        <v>4</v>
      </c>
      <c r="G64" s="39" t="s">
        <v>92</v>
      </c>
      <c r="H64" s="39" t="s">
        <v>92</v>
      </c>
      <c r="I64" s="52" t="s">
        <v>228</v>
      </c>
      <c r="J64" s="53" t="s">
        <v>92</v>
      </c>
      <c r="K64" s="39" t="s">
        <v>92</v>
      </c>
      <c r="L64" s="39" t="s">
        <v>92</v>
      </c>
      <c r="M64" s="39" t="s">
        <v>92</v>
      </c>
      <c r="N64" s="39" t="s">
        <v>92</v>
      </c>
      <c r="O64" s="39" t="s">
        <v>92</v>
      </c>
      <c r="P64" s="39" t="s">
        <v>92</v>
      </c>
      <c r="Q64" s="39" t="s">
        <v>92</v>
      </c>
      <c r="R64" s="55" t="s">
        <v>92</v>
      </c>
    </row>
    <row r="65" spans="1:18">
      <c r="A65" s="54" t="s">
        <v>295</v>
      </c>
      <c r="B65" s="40" t="s">
        <v>296</v>
      </c>
      <c r="C65" s="112" t="s">
        <v>235</v>
      </c>
      <c r="D65" s="108" t="s">
        <v>88</v>
      </c>
      <c r="E65" s="111">
        <v>1</v>
      </c>
      <c r="F65" s="111">
        <v>2</v>
      </c>
      <c r="G65" s="52" t="s">
        <v>228</v>
      </c>
      <c r="H65" s="53" t="s">
        <v>92</v>
      </c>
      <c r="I65" s="41" t="s">
        <v>92</v>
      </c>
      <c r="J65" s="41" t="s">
        <v>92</v>
      </c>
      <c r="K65" s="41" t="s">
        <v>92</v>
      </c>
      <c r="L65" s="41" t="s">
        <v>92</v>
      </c>
      <c r="M65" s="41" t="s">
        <v>92</v>
      </c>
      <c r="N65" s="41" t="s">
        <v>92</v>
      </c>
      <c r="O65" s="41" t="s">
        <v>92</v>
      </c>
      <c r="P65" s="41" t="s">
        <v>92</v>
      </c>
      <c r="Q65" s="41" t="s">
        <v>92</v>
      </c>
      <c r="R65" s="56" t="s">
        <v>92</v>
      </c>
    </row>
    <row r="66" spans="1:18">
      <c r="A66" s="54" t="s">
        <v>297</v>
      </c>
      <c r="B66" s="36" t="s">
        <v>298</v>
      </c>
      <c r="C66" s="120" t="s">
        <v>240</v>
      </c>
      <c r="D66" s="108" t="s">
        <v>88</v>
      </c>
      <c r="E66" s="109">
        <v>2</v>
      </c>
      <c r="F66" s="109">
        <v>3</v>
      </c>
      <c r="G66" s="39" t="s">
        <v>92</v>
      </c>
      <c r="H66" s="52" t="s">
        <v>228</v>
      </c>
      <c r="I66" s="53" t="s">
        <v>92</v>
      </c>
      <c r="J66" s="39" t="s">
        <v>92</v>
      </c>
      <c r="K66" s="39" t="s">
        <v>92</v>
      </c>
      <c r="L66" s="39" t="s">
        <v>92</v>
      </c>
      <c r="M66" s="39" t="s">
        <v>92</v>
      </c>
      <c r="N66" s="39" t="s">
        <v>92</v>
      </c>
      <c r="O66" s="39" t="s">
        <v>92</v>
      </c>
      <c r="P66" s="39" t="s">
        <v>92</v>
      </c>
      <c r="Q66" s="39" t="s">
        <v>92</v>
      </c>
      <c r="R66" s="55" t="s">
        <v>92</v>
      </c>
    </row>
    <row r="67" spans="1:18">
      <c r="A67" s="54" t="s">
        <v>299</v>
      </c>
      <c r="B67" s="40" t="s">
        <v>300</v>
      </c>
      <c r="C67" s="112" t="s">
        <v>235</v>
      </c>
      <c r="D67" s="115" t="s">
        <v>6</v>
      </c>
      <c r="E67" s="111">
        <v>3</v>
      </c>
      <c r="F67" s="111">
        <v>4</v>
      </c>
      <c r="G67" s="41" t="s">
        <v>92</v>
      </c>
      <c r="H67" s="41" t="s">
        <v>92</v>
      </c>
      <c r="I67" s="52" t="s">
        <v>228</v>
      </c>
      <c r="J67" s="53" t="s">
        <v>92</v>
      </c>
      <c r="K67" s="41" t="s">
        <v>92</v>
      </c>
      <c r="L67" s="41" t="s">
        <v>92</v>
      </c>
      <c r="M67" s="41" t="s">
        <v>92</v>
      </c>
      <c r="N67" s="41" t="s">
        <v>92</v>
      </c>
      <c r="O67" s="41" t="s">
        <v>92</v>
      </c>
      <c r="P67" s="41" t="s">
        <v>92</v>
      </c>
      <c r="Q67" s="41" t="s">
        <v>92</v>
      </c>
      <c r="R67" s="56" t="s">
        <v>92</v>
      </c>
    </row>
    <row r="68" spans="1:18">
      <c r="A68" s="54" t="s">
        <v>301</v>
      </c>
      <c r="B68" s="36" t="s">
        <v>302</v>
      </c>
      <c r="C68" s="107" t="s">
        <v>227</v>
      </c>
      <c r="D68" s="116" t="s">
        <v>12</v>
      </c>
      <c r="E68" s="109">
        <v>5</v>
      </c>
      <c r="F68" s="109">
        <v>6</v>
      </c>
      <c r="G68" s="39" t="s">
        <v>92</v>
      </c>
      <c r="H68" s="39" t="s">
        <v>92</v>
      </c>
      <c r="I68" s="39" t="s">
        <v>92</v>
      </c>
      <c r="J68" s="39" t="s">
        <v>92</v>
      </c>
      <c r="K68" s="52" t="s">
        <v>228</v>
      </c>
      <c r="L68" s="53" t="s">
        <v>92</v>
      </c>
      <c r="M68" s="39" t="s">
        <v>92</v>
      </c>
      <c r="N68" s="39" t="s">
        <v>92</v>
      </c>
      <c r="O68" s="39" t="s">
        <v>92</v>
      </c>
      <c r="P68" s="39" t="s">
        <v>92</v>
      </c>
      <c r="Q68" s="39" t="s">
        <v>92</v>
      </c>
      <c r="R68" s="55" t="s">
        <v>92</v>
      </c>
    </row>
    <row r="69" spans="1:18">
      <c r="A69" s="54" t="s">
        <v>303</v>
      </c>
      <c r="B69" s="40" t="s">
        <v>304</v>
      </c>
      <c r="C69" s="112" t="s">
        <v>235</v>
      </c>
      <c r="D69" s="116" t="s">
        <v>12</v>
      </c>
      <c r="E69" s="111">
        <v>5</v>
      </c>
      <c r="F69" s="111">
        <v>6</v>
      </c>
      <c r="G69" s="41" t="s">
        <v>92</v>
      </c>
      <c r="H69" s="41" t="s">
        <v>92</v>
      </c>
      <c r="I69" s="41" t="s">
        <v>92</v>
      </c>
      <c r="J69" s="41" t="s">
        <v>92</v>
      </c>
      <c r="K69" s="52" t="s">
        <v>228</v>
      </c>
      <c r="L69" s="53" t="s">
        <v>92</v>
      </c>
      <c r="M69" s="41" t="s">
        <v>92</v>
      </c>
      <c r="N69" s="41" t="s">
        <v>92</v>
      </c>
      <c r="O69" s="41" t="s">
        <v>92</v>
      </c>
      <c r="P69" s="41" t="s">
        <v>92</v>
      </c>
      <c r="Q69" s="41" t="s">
        <v>92</v>
      </c>
      <c r="R69" s="56" t="s">
        <v>92</v>
      </c>
    </row>
    <row r="70" spans="1:18">
      <c r="A70" s="58" t="s">
        <v>305</v>
      </c>
      <c r="B70" s="59" t="s">
        <v>306</v>
      </c>
      <c r="C70" s="121" t="s">
        <v>240</v>
      </c>
      <c r="D70" s="122" t="s">
        <v>28</v>
      </c>
      <c r="E70" s="123">
        <v>11</v>
      </c>
      <c r="F70" s="123">
        <v>12</v>
      </c>
      <c r="G70" s="60" t="s">
        <v>92</v>
      </c>
      <c r="H70" s="60" t="s">
        <v>92</v>
      </c>
      <c r="I70" s="60" t="s">
        <v>92</v>
      </c>
      <c r="J70" s="60" t="s">
        <v>92</v>
      </c>
      <c r="K70" s="60" t="s">
        <v>92</v>
      </c>
      <c r="L70" s="60" t="s">
        <v>92</v>
      </c>
      <c r="M70" s="60" t="s">
        <v>92</v>
      </c>
      <c r="N70" s="60" t="s">
        <v>92</v>
      </c>
      <c r="O70" s="60" t="s">
        <v>92</v>
      </c>
      <c r="P70" s="60" t="s">
        <v>92</v>
      </c>
      <c r="Q70" s="61" t="s">
        <v>228</v>
      </c>
      <c r="R70" s="62" t="s">
        <v>92</v>
      </c>
    </row>
    <row r="72" spans="1:18">
      <c r="B72" s="208" t="s">
        <v>307</v>
      </c>
      <c r="C72" s="209"/>
      <c r="D72" s="35"/>
      <c r="E72" s="35"/>
      <c r="F72" s="35"/>
      <c r="G72" s="35"/>
      <c r="H72" s="35"/>
      <c r="I72" s="35"/>
      <c r="J72" s="35"/>
      <c r="K72" s="35"/>
      <c r="L72" s="35"/>
      <c r="M72" s="35"/>
    </row>
    <row r="73" spans="1:18">
      <c r="B73" s="35"/>
      <c r="C73" s="35"/>
      <c r="D73" s="210" t="s">
        <v>308</v>
      </c>
      <c r="E73" s="211"/>
      <c r="F73" s="212" t="s">
        <v>309</v>
      </c>
      <c r="G73" s="213"/>
      <c r="H73" s="203" t="s">
        <v>240</v>
      </c>
      <c r="I73" s="204"/>
      <c r="J73" s="217" t="s">
        <v>88</v>
      </c>
      <c r="K73" s="218"/>
      <c r="L73" s="219" t="s">
        <v>6</v>
      </c>
      <c r="M73" s="220"/>
    </row>
    <row r="74" spans="1:18">
      <c r="B74" s="35"/>
      <c r="C74" s="35"/>
      <c r="D74" s="195" t="s">
        <v>12</v>
      </c>
      <c r="E74" s="196"/>
      <c r="F74" s="197" t="s">
        <v>22</v>
      </c>
      <c r="G74" s="198"/>
      <c r="H74" s="199" t="s">
        <v>23</v>
      </c>
      <c r="I74" s="200"/>
      <c r="J74" s="201" t="s">
        <v>28</v>
      </c>
      <c r="K74" s="202"/>
      <c r="L74" s="203" t="s">
        <v>310</v>
      </c>
      <c r="M74" s="204"/>
    </row>
  </sheetData>
  <mergeCells count="28">
    <mergeCell ref="A1:R1"/>
    <mergeCell ref="A2:F2"/>
    <mergeCell ref="G2:R2"/>
    <mergeCell ref="G3:H3"/>
    <mergeCell ref="I3:J3"/>
    <mergeCell ref="K3:L3"/>
    <mergeCell ref="M3:N3"/>
    <mergeCell ref="O3:P3"/>
    <mergeCell ref="Q3:R3"/>
    <mergeCell ref="A3:F3"/>
    <mergeCell ref="B72:C72"/>
    <mergeCell ref="D73:E73"/>
    <mergeCell ref="F73:G73"/>
    <mergeCell ref="H73:I73"/>
    <mergeCell ref="A62:R62"/>
    <mergeCell ref="J73:K73"/>
    <mergeCell ref="L73:M73"/>
    <mergeCell ref="A5:R5"/>
    <mergeCell ref="A12:R12"/>
    <mergeCell ref="A23:R23"/>
    <mergeCell ref="A33:R33"/>
    <mergeCell ref="A44:R44"/>
    <mergeCell ref="A53:R53"/>
    <mergeCell ref="D74:E74"/>
    <mergeCell ref="F74:G74"/>
    <mergeCell ref="H74:I74"/>
    <mergeCell ref="J74:K74"/>
    <mergeCell ref="L74:M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EF54-D62F-47A2-9B5B-8AC85CE2EB1F}">
  <dimension ref="B3:F12"/>
  <sheetViews>
    <sheetView workbookViewId="0">
      <selection activeCell="L7" sqref="L7"/>
    </sheetView>
  </sheetViews>
  <sheetFormatPr defaultRowHeight="15"/>
  <cols>
    <col min="2" max="2" width="22.140625" customWidth="1"/>
    <col min="3" max="3" width="20.42578125" customWidth="1"/>
    <col min="4" max="4" width="17.28515625" customWidth="1"/>
    <col min="5" max="5" width="22.7109375" customWidth="1"/>
    <col min="6" max="6" width="12" style="23" customWidth="1"/>
  </cols>
  <sheetData>
    <row r="3" spans="2:6">
      <c r="B3" s="25"/>
      <c r="C3" s="25" t="s">
        <v>311</v>
      </c>
      <c r="D3" s="25" t="s">
        <v>312</v>
      </c>
      <c r="E3" s="25" t="s">
        <v>313</v>
      </c>
      <c r="F3" s="27" t="s">
        <v>314</v>
      </c>
    </row>
    <row r="4" spans="2:6" ht="29.25">
      <c r="B4" s="1">
        <v>1</v>
      </c>
      <c r="C4" s="21" t="s">
        <v>315</v>
      </c>
      <c r="D4" s="1" t="s">
        <v>316</v>
      </c>
      <c r="E4" s="20" t="s">
        <v>317</v>
      </c>
      <c r="F4" s="24">
        <v>45749</v>
      </c>
    </row>
    <row r="5" spans="2:6" ht="57.75">
      <c r="B5" s="1">
        <v>2</v>
      </c>
      <c r="C5" s="22" t="s">
        <v>318</v>
      </c>
      <c r="D5" s="1" t="s">
        <v>316</v>
      </c>
      <c r="E5" s="20" t="s">
        <v>319</v>
      </c>
      <c r="F5" s="24">
        <v>45749</v>
      </c>
    </row>
    <row r="6" spans="2:6">
      <c r="B6" s="1">
        <v>3</v>
      </c>
      <c r="C6" s="29" t="s">
        <v>320</v>
      </c>
      <c r="D6" s="1" t="s">
        <v>316</v>
      </c>
      <c r="E6" s="1" t="s">
        <v>321</v>
      </c>
      <c r="F6" s="24">
        <v>45749</v>
      </c>
    </row>
    <row r="7" spans="2:6">
      <c r="B7" s="1">
        <v>4</v>
      </c>
      <c r="C7" s="22" t="s">
        <v>318</v>
      </c>
      <c r="D7" s="1" t="s">
        <v>322</v>
      </c>
      <c r="E7" s="20" t="s">
        <v>323</v>
      </c>
      <c r="F7" s="24">
        <v>45749</v>
      </c>
    </row>
    <row r="8" spans="2:6" ht="43.5">
      <c r="B8" s="252">
        <v>5</v>
      </c>
      <c r="C8" s="21" t="s">
        <v>315</v>
      </c>
      <c r="D8" s="1" t="s">
        <v>324</v>
      </c>
      <c r="E8" s="20" t="s">
        <v>325</v>
      </c>
      <c r="F8" s="24"/>
    </row>
    <row r="9" spans="2:6">
      <c r="B9" s="252"/>
      <c r="C9" s="21" t="s">
        <v>315</v>
      </c>
      <c r="D9" s="1" t="s">
        <v>322</v>
      </c>
      <c r="E9" s="1" t="s">
        <v>326</v>
      </c>
      <c r="F9" s="24"/>
    </row>
    <row r="10" spans="2:6">
      <c r="B10" s="253"/>
      <c r="C10" s="28" t="s">
        <v>315</v>
      </c>
      <c r="D10" s="3" t="s">
        <v>316</v>
      </c>
      <c r="E10" s="3" t="s">
        <v>327</v>
      </c>
      <c r="F10" s="26"/>
    </row>
    <row r="11" spans="2:6" ht="57.75">
      <c r="B11" s="1">
        <v>6</v>
      </c>
      <c r="C11" s="22" t="s">
        <v>318</v>
      </c>
      <c r="D11" s="1" t="s">
        <v>328</v>
      </c>
      <c r="E11" s="20" t="s">
        <v>329</v>
      </c>
      <c r="F11" s="24"/>
    </row>
    <row r="12" spans="2:6">
      <c r="B12" s="1">
        <v>7</v>
      </c>
      <c r="C12" s="21" t="s">
        <v>315</v>
      </c>
      <c r="D12" s="1" t="s">
        <v>316</v>
      </c>
      <c r="E12" s="1" t="s">
        <v>330</v>
      </c>
      <c r="F12" s="24">
        <v>45749</v>
      </c>
    </row>
  </sheetData>
  <autoFilter ref="B3:F11" xr:uid="{47EEEF54-D62F-47A2-9B5B-8AC85CE2EB1F}"/>
  <mergeCells count="1"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2025-03-11T23:53:23Z</dcterms:created>
  <dcterms:modified xsi:type="dcterms:W3CDTF">2026-03-11T04:03:28Z</dcterms:modified>
  <cp:category/>
  <cp:contentStatus/>
</cp:coreProperties>
</file>